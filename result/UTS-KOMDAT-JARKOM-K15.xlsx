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marb\Documents\kuliah\semester-3\jarkom\MidProject-Jarkom_K15_005_025_055\excel\"/>
    </mc:Choice>
  </mc:AlternateContent>
  <xr:revisionPtr revIDLastSave="0" documentId="13_ncr:1_{9ABD55DA-2849-4FEA-A900-9E9F011725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lompok" sheetId="1" r:id="rId1"/>
    <sheet name="Kebutuhan" sheetId="2" r:id="rId2"/>
    <sheet name="VLSM" sheetId="3" r:id="rId3"/>
    <sheet name="CIDR" sheetId="4" r:id="rId4"/>
    <sheet name="Simpulan &amp; Analisis" sheetId="5" r:id="rId5"/>
    <sheet name="Revis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4" l="1"/>
  <c r="I23" i="4"/>
  <c r="F23" i="4"/>
  <c r="I21" i="4"/>
  <c r="I20" i="4"/>
  <c r="F20" i="4"/>
  <c r="I18" i="4"/>
  <c r="I17" i="4"/>
  <c r="F17" i="4"/>
  <c r="I15" i="4"/>
  <c r="I14" i="4"/>
  <c r="F14" i="4"/>
  <c r="I12" i="4"/>
  <c r="I11" i="4"/>
  <c r="F11" i="4"/>
  <c r="I9" i="4"/>
  <c r="I8" i="4"/>
  <c r="F8" i="4"/>
  <c r="I6" i="4"/>
  <c r="I5" i="4"/>
  <c r="F5" i="4"/>
  <c r="N8" i="4" s="1"/>
  <c r="N11" i="4" s="1"/>
  <c r="N14" i="4" s="1"/>
  <c r="N17" i="4" s="1"/>
  <c r="N20" i="4" s="1"/>
  <c r="N23" i="4" s="1"/>
  <c r="N25" i="4" s="1"/>
  <c r="E24" i="3" a="1"/>
  <c r="E24" i="3" s="1"/>
  <c r="E23" i="3" a="1"/>
  <c r="E23" i="3" s="1"/>
  <c r="E22" i="3" a="1"/>
  <c r="E22" i="3" s="1"/>
  <c r="E21" i="3" a="1"/>
  <c r="E21" i="3" s="1"/>
  <c r="E20" i="3" a="1"/>
  <c r="E20" i="3"/>
  <c r="E19" i="3" a="1"/>
  <c r="E19" i="3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N26" i="4" l="1"/>
  <c r="N27" i="4" s="1"/>
  <c r="N30" i="4"/>
  <c r="G18" i="2"/>
  <c r="H18" i="2" s="1"/>
  <c r="E18" i="3" a="1"/>
  <c r="E18" i="3" s="1"/>
  <c r="G17" i="2"/>
  <c r="H17" i="2" s="1"/>
  <c r="E17" i="3" a="1"/>
  <c r="E17" i="3" s="1"/>
  <c r="G16" i="2"/>
  <c r="H16" i="2" s="1"/>
  <c r="E16" i="3" a="1"/>
  <c r="E16" i="3" s="1"/>
  <c r="G15" i="2"/>
  <c r="H15" i="2" s="1"/>
  <c r="E15" i="3" a="1"/>
  <c r="E15" i="3" s="1"/>
  <c r="G14" i="2"/>
  <c r="H14" i="2" s="1"/>
  <c r="E14" i="3" a="1"/>
  <c r="E14" i="3" s="1"/>
  <c r="G13" i="2"/>
  <c r="H13" i="2" s="1"/>
  <c r="E13" i="3" a="1"/>
  <c r="E13" i="3" s="1"/>
  <c r="G12" i="2"/>
  <c r="H12" i="2" s="1"/>
  <c r="E12" i="3" a="1"/>
  <c r="E12" i="3" s="1"/>
  <c r="G11" i="2"/>
  <c r="H11" i="2" s="1"/>
  <c r="E11" i="3" a="1"/>
  <c r="E11" i="3" s="1"/>
  <c r="G10" i="2"/>
  <c r="H10" i="2" s="1"/>
  <c r="E10" i="3" a="1"/>
  <c r="E10" i="3" s="1"/>
  <c r="G9" i="2"/>
  <c r="H9" i="2" s="1"/>
  <c r="E9" i="3" a="1"/>
  <c r="E9" i="3" s="1"/>
  <c r="G8" i="2"/>
  <c r="H8" i="2" s="1"/>
  <c r="E8" i="3" a="1"/>
  <c r="E8" i="3" s="1"/>
  <c r="G7" i="2"/>
  <c r="H7" i="2" s="1"/>
  <c r="E7" i="3" a="1"/>
  <c r="E7" i="3" s="1"/>
  <c r="G6" i="2"/>
  <c r="H6" i="2" s="1"/>
  <c r="E6" i="3" a="1"/>
  <c r="E6" i="3" s="1"/>
  <c r="G5" i="2"/>
  <c r="H5" i="2" s="1"/>
  <c r="E5" i="3" a="1"/>
  <c r="E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N28" i="4" l="1"/>
  <c r="N31" i="4"/>
  <c r="J26" i="3"/>
  <c r="J27" i="3" s="1"/>
  <c r="J28" i="3" l="1"/>
  <c r="J29" i="3"/>
</calcChain>
</file>

<file path=xl/sharedStrings.xml><?xml version="1.0" encoding="utf-8"?>
<sst xmlns="http://schemas.openxmlformats.org/spreadsheetml/2006/main" count="369" uniqueCount="305">
  <si>
    <t>Tabel VLSM</t>
  </si>
  <si>
    <t>Tabel Kebutuhan</t>
  </si>
  <si>
    <t>Tabel Hasil &amp; Ringkasan UTS JarKom K15</t>
  </si>
  <si>
    <t>No.</t>
  </si>
  <si>
    <t>No</t>
  </si>
  <si>
    <t>Perancangan Pengalamatan Jaringan Smart City Surabaya - Kelompok 15</t>
  </si>
  <si>
    <t>Subnet / LAN</t>
  </si>
  <si>
    <t>Subnet</t>
  </si>
  <si>
    <t>Jumlah Host</t>
  </si>
  <si>
    <t>Lokasi</t>
  </si>
  <si>
    <t>Kelompok</t>
  </si>
  <si>
    <t>Kebutuhan</t>
  </si>
  <si>
    <t>Prefix</t>
  </si>
  <si>
    <t>NRP</t>
  </si>
  <si>
    <t>Nama</t>
  </si>
  <si>
    <t>Network ID</t>
  </si>
  <si>
    <t>Range</t>
  </si>
  <si>
    <t>Ukuran Blok</t>
  </si>
  <si>
    <t>Subnet Mask</t>
  </si>
  <si>
    <t>Broadcast</t>
  </si>
  <si>
    <t>Wifi Publik Utara</t>
  </si>
  <si>
    <t>Umar</t>
  </si>
  <si>
    <t>Offset</t>
  </si>
  <si>
    <t>Tafidah Hasna</t>
  </si>
  <si>
    <t>Keisya Dira</t>
  </si>
  <si>
    <t>Host Pertama</t>
  </si>
  <si>
    <t>Host Terakhir</t>
  </si>
  <si>
    <t>WiFi Publik Utara</t>
  </si>
  <si>
    <t>R-UTARA</t>
  </si>
  <si>
    <t>Oktet ke-2</t>
  </si>
  <si>
    <t>Oktet ke-2 = 8 x Nomor Kelompok = 8 x 15 = 120</t>
  </si>
  <si>
    <t>Link Tambahan R-PUSAT ke R-ISP</t>
  </si>
  <si>
    <t>203.0.113.(4 x 15)/30 = 203.0.113.60/30 (R-PUSAT: .61, R-ISP: .62)</t>
  </si>
  <si>
    <t>Base Network</t>
  </si>
  <si>
    <t>10.120.0.0/16</t>
  </si>
  <si>
    <t>Tabel CIDR</t>
  </si>
  <si>
    <t>Server Internet Eksternal</t>
  </si>
  <si>
    <t>8.8.8.0/24 (Server: 8.8.8.8, Gateway R-ISP: 8.8.8.1)</t>
  </si>
  <si>
    <t>Alasan Pemilihan Kelas Private</t>
  </si>
  <si>
    <t>Menggunakan Class A Private (10.0.0.0/8) karena fleksibilitas subnetting sangat luas untuk jaringan skala kota (Smart City) dengan kebutuhan total &gt;60.000 host.</t>
  </si>
  <si>
    <t>Tunnel GRE R-PUSAT ke R-PELABUHAN</t>
  </si>
  <si>
    <t>192.168.15.0/30 (R-PUSAT: .1, R-PELABUHAN: .2)</t>
  </si>
  <si>
    <t>10.120.0.1</t>
  </si>
  <si>
    <t>10.120.63.254</t>
  </si>
  <si>
    <t>10.120.63.255</t>
  </si>
  <si>
    <t>WiFi Publik Selatan</t>
  </si>
  <si>
    <t>R-SELATAN</t>
  </si>
  <si>
    <t>10.120.64.0</t>
  </si>
  <si>
    <t>10.120.64.1</t>
  </si>
  <si>
    <t>10.120.95.254</t>
  </si>
  <si>
    <t>10.120.95.255</t>
  </si>
  <si>
    <t>CCTV Kota</t>
  </si>
  <si>
    <t>R-DC</t>
  </si>
  <si>
    <t>Router</t>
  </si>
  <si>
    <t>Alokasi Supernet</t>
  </si>
  <si>
    <t>10.120.96.0</t>
  </si>
  <si>
    <t>10.120.96.1</t>
  </si>
  <si>
    <t>10.120.127.254</t>
  </si>
  <si>
    <t>10.120.127.255</t>
  </si>
  <si>
    <t>Prefix Supernet</t>
  </si>
  <si>
    <t>WiFi Publik Timur</t>
  </si>
  <si>
    <t>R-TIMUR</t>
  </si>
  <si>
    <t>Kapasitas Supernet</t>
  </si>
  <si>
    <t>Subnet Anggota</t>
  </si>
  <si>
    <t>Kebutuhan Host</t>
  </si>
  <si>
    <t>10.120.128.0</t>
  </si>
  <si>
    <t>10.120.128.1</t>
  </si>
  <si>
    <t>10.120.159.254</t>
  </si>
  <si>
    <t>10.120.159.255</t>
  </si>
  <si>
    <t>Prefix Subnet</t>
  </si>
  <si>
    <t>Sensor &amp; SCADA Pelabuhan</t>
  </si>
  <si>
    <t>R-PELABUHAN</t>
  </si>
  <si>
    <t>Network ID Subnet</t>
  </si>
  <si>
    <t>Wifi Publik Selatan</t>
  </si>
  <si>
    <t>Broadcast Subnet</t>
  </si>
  <si>
    <t>10.120.160.0</t>
  </si>
  <si>
    <t>10.120.160.1</t>
  </si>
  <si>
    <t>10.120.191.254</t>
  </si>
  <si>
    <t>10.120.191.255</t>
  </si>
  <si>
    <t>WiFi Publik Barat</t>
  </si>
  <si>
    <t>R-BARAT</t>
  </si>
  <si>
    <t>10.120.192.0</t>
  </si>
  <si>
    <t>10.120.192.1</t>
  </si>
  <si>
    <t>10.120.223.254</t>
  </si>
  <si>
    <t>10.120.223.255</t>
  </si>
  <si>
    <t>Wifi Publik Timur</t>
  </si>
  <si>
    <t>Pegawai Balai Kota</t>
  </si>
  <si>
    <t>R-PUSAT</t>
  </si>
  <si>
    <t>SCADA</t>
  </si>
  <si>
    <t>Wifi Publik Barat</t>
  </si>
  <si>
    <t>10.120.224.0</t>
  </si>
  <si>
    <t>10.120.224.1</t>
  </si>
  <si>
    <t>10.120.231.254</t>
  </si>
  <si>
    <t>10.120.231.255</t>
  </si>
  <si>
    <t>Sensor Banjir Timur</t>
  </si>
  <si>
    <t>10.120.0.0 - 10.120.127.255</t>
  </si>
  <si>
    <t>10.120.232.0</t>
  </si>
  <si>
    <t>Sensor Lalu Lintas</t>
  </si>
  <si>
    <t>10.120.232.1</t>
  </si>
  <si>
    <t>10.120.235.254</t>
  </si>
  <si>
    <t>10.120.235.255</t>
  </si>
  <si>
    <t>Sensor Lalu Lintas Utara</t>
  </si>
  <si>
    <t>Puskesmas</t>
  </si>
  <si>
    <t>10.120.236.0</t>
  </si>
  <si>
    <t>10.120.236.1</t>
  </si>
  <si>
    <t>10.120.237.254</t>
  </si>
  <si>
    <t>Server DC</t>
  </si>
  <si>
    <t>10.120.237.255</t>
  </si>
  <si>
    <t>Puskesmas &amp; Sekolah Barat</t>
  </si>
  <si>
    <t>Kantor Labuh</t>
  </si>
  <si>
    <t>10.120.238.0</t>
  </si>
  <si>
    <t>10.120.238.1</t>
  </si>
  <si>
    <t>10.120.238.254</t>
  </si>
  <si>
    <t>10.120.238.255</t>
  </si>
  <si>
    <t>PJU</t>
  </si>
  <si>
    <t>Server &amp; Storage DC</t>
  </si>
  <si>
    <t>Server Balaikota</t>
  </si>
  <si>
    <t>10.120.239.0</t>
  </si>
  <si>
    <t>10.120.239.1</t>
  </si>
  <si>
    <t>10.120.239.254</t>
  </si>
  <si>
    <t>10.120.239.255</t>
  </si>
  <si>
    <t>Kantor Pelabuhan</t>
  </si>
  <si>
    <t>10.120.240.0</t>
  </si>
  <si>
    <t>10.120.240.1</t>
  </si>
  <si>
    <t>10.120.240.126</t>
  </si>
  <si>
    <t>10.120.240.127</t>
  </si>
  <si>
    <t>PJU Pintar Selatan</t>
  </si>
  <si>
    <t>10.120.240.128</t>
  </si>
  <si>
    <t>10.120.240.129</t>
  </si>
  <si>
    <t>10.120.240.254</t>
  </si>
  <si>
    <t>10.120.240.255</t>
  </si>
  <si>
    <t>Server Balai Kota</t>
  </si>
  <si>
    <t>10.120.241.0</t>
  </si>
  <si>
    <t>10.120.241.1</t>
  </si>
  <si>
    <t>10.120.241.30</t>
  </si>
  <si>
    <t>10.120.241.31</t>
  </si>
  <si>
    <t>Link 1 (Backbone L1)</t>
  </si>
  <si>
    <t>R-PUSAT &lt;-&gt; R-DC</t>
  </si>
  <si>
    <t>10.120.0.0</t>
  </si>
  <si>
    <t>10.120.241.32</t>
  </si>
  <si>
    <t>10.120.241.33</t>
  </si>
  <si>
    <t>10.120.241.34</t>
  </si>
  <si>
    <t>10.120.241.35</t>
  </si>
  <si>
    <t>Link 2 (Backbone L2)</t>
  </si>
  <si>
    <t>R-PUSAT &lt;-&gt; R-UTARA</t>
  </si>
  <si>
    <t>10.120.241.36</t>
  </si>
  <si>
    <t>10.120.241.37</t>
  </si>
  <si>
    <t>10.120.241.38</t>
  </si>
  <si>
    <t>10.120.241.39</t>
  </si>
  <si>
    <t>Link 3 (Backbone L3)</t>
  </si>
  <si>
    <t>R-PUSAT &lt;-&gt; R-SELATAN</t>
  </si>
  <si>
    <t>10.120.65.254</t>
  </si>
  <si>
    <t>10.120.65.255</t>
  </si>
  <si>
    <t>10.120.241.40</t>
  </si>
  <si>
    <t>10.120.241.41</t>
  </si>
  <si>
    <t>10.120.241.42</t>
  </si>
  <si>
    <t>10.120.241.43</t>
  </si>
  <si>
    <t>Link 4 (Backbone L4)</t>
  </si>
  <si>
    <t>R-PUSAT &lt;-&gt; R-TIMUR</t>
  </si>
  <si>
    <t>Link 2 (R-PUSAT &lt;-&gt; R-UTARA)</t>
  </si>
  <si>
    <t>10.120.241.44</t>
  </si>
  <si>
    <t>10.120.241.45</t>
  </si>
  <si>
    <t>10.120.241.46</t>
  </si>
  <si>
    <t>10.120.241.47</t>
  </si>
  <si>
    <t>Link 5 (Backbone L5)</t>
  </si>
  <si>
    <t>R-PUSAT &lt;-&gt; R-BARAT</t>
  </si>
  <si>
    <t>10.120.241.48</t>
  </si>
  <si>
    <t>10.120.241.49</t>
  </si>
  <si>
    <t>10.120.241.50</t>
  </si>
  <si>
    <t>10.120.241.51</t>
  </si>
  <si>
    <t>10.120.66.0</t>
  </si>
  <si>
    <t>10.120.66.1</t>
  </si>
  <si>
    <t>Link 6 (Backbone L6)</t>
  </si>
  <si>
    <t>R-UTARA &lt;-&gt; R-PELABUHAN</t>
  </si>
  <si>
    <t>10.120.66.2</t>
  </si>
  <si>
    <t>10.120.66.3</t>
  </si>
  <si>
    <t>10.120.241.52</t>
  </si>
  <si>
    <t>10.120.241.53</t>
  </si>
  <si>
    <t>10.120.241.54</t>
  </si>
  <si>
    <t>10.120.241.55</t>
  </si>
  <si>
    <t>10.120.128.0 - 10.120.191.255</t>
  </si>
  <si>
    <t>Tabel Perbandingan Efisiensi VLSM vs CIDR</t>
  </si>
  <si>
    <t>Total</t>
  </si>
  <si>
    <t>Parameter</t>
  </si>
  <si>
    <t>Prefix Seluruhan</t>
  </si>
  <si>
    <t>VSLM</t>
  </si>
  <si>
    <t>CIDR</t>
  </si>
  <si>
    <t>Analisis</t>
  </si>
  <si>
    <t>Besar Blok</t>
  </si>
  <si>
    <t>Total alamat digunakan</t>
  </si>
  <si>
    <t>61.752 alamat</t>
  </si>
  <si>
    <t>Kebutuhan alamat aktual sama pada kedua metode.</t>
  </si>
  <si>
    <t>Alamat Sisa</t>
  </si>
  <si>
    <t>Total alamat dipesan</t>
  </si>
  <si>
    <t xml:space="preserve">118.784 alamat </t>
  </si>
  <si>
    <t>CIDR memesan lebih banyak alamat karena pembulatan blok pada setiap router.</t>
  </si>
  <si>
    <t>Prefix Terkecil yang Menampung</t>
  </si>
  <si>
    <t>/16 (65.536 alamat)</t>
  </si>
  <si>
    <t>/15 (131.072 alamat)</t>
  </si>
  <si>
    <t>CIDR membutuhkan blok induk /15 karena total alokasi melebihi kapasitas /16.</t>
  </si>
  <si>
    <t>Persentase Pemakaian</t>
  </si>
  <si>
    <t>Alamat Terbuang</t>
  </si>
  <si>
    <t>3.784 alamat (dalam /16)</t>
  </si>
  <si>
    <t>57.032 alamat  (dari yang digunakan dalam /15)</t>
  </si>
  <si>
    <t>CIDR membuang sekitar 15 kali lebih banyak alamat pada tingkat blok per router.</t>
  </si>
  <si>
    <t>Persentase Efisiensi Pemakaian</t>
  </si>
  <si>
    <t>10.120.160.126</t>
  </si>
  <si>
    <t>10.120.160.127</t>
  </si>
  <si>
    <t xml:space="preserve">Subnet Khusus </t>
  </si>
  <si>
    <t>Efisiensi VLSM jauh lebih tinggi (+47.12% lebih hemat dibanding CIDR) VLSM menggunakan alokasi lebih rapat, sedangkan CIDR menyisakan ruang cadangan.</t>
  </si>
  <si>
    <t>Link R-PUSAT ke R-ISP</t>
  </si>
  <si>
    <t>Link 3 (R-PUSAT &lt;-&gt; R-SELATAN)</t>
  </si>
  <si>
    <t>203.0.113.60/30</t>
  </si>
  <si>
    <t xml:space="preserve">Kesimpulan Metode </t>
  </si>
  <si>
    <t>R-PUSAT: 203.0.113.61, R-ISP: 203.0.113.62, Bc: 203.0.113.63</t>
  </si>
  <si>
    <t>10.120.160.128</t>
  </si>
  <si>
    <t>10.120.160.129</t>
  </si>
  <si>
    <t>10.120.160.130</t>
  </si>
  <si>
    <t>Efisiensi alamat lebih tinggi</t>
  </si>
  <si>
    <t>10.120.160.131</t>
  </si>
  <si>
    <t>8.8.8.0/24</t>
  </si>
  <si>
    <t>Server: 8.8.8.8, Gateway R-ISP: 8.8.8.1, Bc: 8.8.8.255</t>
  </si>
  <si>
    <t>Lebih boros alamat, lebih ringkas di rute</t>
  </si>
  <si>
    <t>Tunnel GRE (PUSAT - PELABUHAN)</t>
  </si>
  <si>
    <t>VLSM direkomendasikan karena pembagian IP fleksibel sesuai kebutuhan tiap subnet.</t>
  </si>
  <si>
    <t>192.168.15.0/30</t>
  </si>
  <si>
    <t>R-PUSAT: 192.168.15.1, R-PELABUHAN: 192.168.15.2, Bc: 192.168.15.3</t>
  </si>
  <si>
    <t>10.120.192.0 - 10.120.255.255</t>
  </si>
  <si>
    <t>Tabel Revisi</t>
  </si>
  <si>
    <t>Subnet Terkait</t>
  </si>
  <si>
    <t>Jawaban di Lembar UTS</t>
  </si>
  <si>
    <t>Perbaikan yang Benar</t>
  </si>
  <si>
    <t>Alasan Kesalahan &amp; Pembahasan</t>
  </si>
  <si>
    <t>Server Balai Kota (Baris 14)</t>
  </si>
  <si>
    <t>Range: 10.120.241.1 - 10.120.241.31
Broadcast: 10.120.241.32</t>
  </si>
  <si>
    <t>Range: 10.120.241.1 - 10.120.241.30
Broadcast: 10.120.241.31
Prefix: /27 (Blok 32)</t>
  </si>
  <si>
    <t>Ukuran blok prefix /27 adalah 32 alamat (dimulai dari .0 hingga .31). Host terakhir adalah .30 dan broadcast adalah .31. Di lembar UTS tertulis broadcast .32 sehingga menyebabkan pergeseran angka ganjil.</t>
  </si>
  <si>
    <t>10.120.224.254</t>
  </si>
  <si>
    <t>10.120.224.255</t>
  </si>
  <si>
    <t>Link 1 s/d Link 6 (Backbone L1 - L6)</t>
  </si>
  <si>
    <t>Link 1: Net 10.120.241.33 / Bc .36
Link 2: Net 10.120.241.37 / Bc .40
Link 3: Net 10.120.241.41 / Bc .44
Link 4: Net 10.120.241.45 / Bc .48
Link 5: Net 10.120.241.49 / Bc .52
Link 6: Net 10.120.241.53 / Bc .56</t>
  </si>
  <si>
    <t>Link 1: Net 10.120.241.32/30 (Bc .35)
Link 2: Net 10.120.241.36/30 (Bc .39)
Link 3: Net 10.120.241.40/30 (Bc .43)
Link 4: Net 10.120.241.44/30 (Bc .47)
Link 5: Net 10.120.241.48/30 (Bc .51)
Link 6: Net 10.120.241.52/30 (Bc .55)</t>
  </si>
  <si>
    <t>Efek domino dari kesalahan broadcast Server Balai Kota (.32). Pada subnet /30 (blok 4), Network ID WAJIB angka genap kelipatan 4 (32, 36, 40, 44, 48, 52). Jawaban di UTS bergeser 1 angka menjadi ganjil sehingga tidak valid sebagai network ID.</t>
  </si>
  <si>
    <t>Kantor Pelabuhan (Baris 12)</t>
  </si>
  <si>
    <t>Range: 10.120.240.1 - 10.120.240.129
Broadcast: 10.120.240.127</t>
  </si>
  <si>
    <t>Range: 10.120.240.1 - 10.120.240.126
Broadcast: 10.120.240.127
Prefix: /25 (Blok 128)</t>
  </si>
  <si>
    <t>Typo penulisan host terakhir (.129 melebihi alamat broadcast .127). Host usable yang valid adalah .1 sampai .126.</t>
  </si>
  <si>
    <t>Link 1 (R-PUSAT &lt;-&gt; R-DC)</t>
  </si>
  <si>
    <t>10.120.225.0</t>
  </si>
  <si>
    <t>10.120.225.1</t>
  </si>
  <si>
    <t>10.120.225.2</t>
  </si>
  <si>
    <t>10.120.225.3</t>
  </si>
  <si>
    <t>10.121.0.0 - 10.121.63.255</t>
  </si>
  <si>
    <t>10.121.0.0</t>
  </si>
  <si>
    <t>10.121.0.1</t>
  </si>
  <si>
    <t>10.121.31.254</t>
  </si>
  <si>
    <t>10.121.31.255</t>
  </si>
  <si>
    <t>10.121.32.0</t>
  </si>
  <si>
    <t>10.121.32.1</t>
  </si>
  <si>
    <t>10.121.35.254</t>
  </si>
  <si>
    <t>10.121.35.255</t>
  </si>
  <si>
    <t>Link 4 (R-PUSAT &lt;-&gt; R-TIMUR)</t>
  </si>
  <si>
    <t>10.121.36.0</t>
  </si>
  <si>
    <t>10.121.36.1</t>
  </si>
  <si>
    <t>10.121.36.2</t>
  </si>
  <si>
    <t>10.121.36.3</t>
  </si>
  <si>
    <t>10.121.64.0 - 10.121.127.255</t>
  </si>
  <si>
    <t>10.121.64.0</t>
  </si>
  <si>
    <t>10.121.64.1</t>
  </si>
  <si>
    <t>10.121.95.254</t>
  </si>
  <si>
    <t>10.121.95.255</t>
  </si>
  <si>
    <t>10.121.96.0</t>
  </si>
  <si>
    <t>10.121.96.1</t>
  </si>
  <si>
    <t>10.121.96.126</t>
  </si>
  <si>
    <t>10.121.96.127</t>
  </si>
  <si>
    <t>Link 6 (R-UTARA &lt;-&gt; R-PELABUHAN)</t>
  </si>
  <si>
    <t>10.121.96.128</t>
  </si>
  <si>
    <t>10.121.96.129</t>
  </si>
  <si>
    <t>10.121.96.130</t>
  </si>
  <si>
    <t>10.121.96.131</t>
  </si>
  <si>
    <t>10.121.128.0 - 10.121.191.255</t>
  </si>
  <si>
    <t>10.121.128.0</t>
  </si>
  <si>
    <t>10.121.128.1</t>
  </si>
  <si>
    <t>10.121.159.254</t>
  </si>
  <si>
    <t>10.121.159.255</t>
  </si>
  <si>
    <t>10.121.160.0</t>
  </si>
  <si>
    <t>10.121.160.1</t>
  </si>
  <si>
    <t>10.121.160.254</t>
  </si>
  <si>
    <t>10.121.160.255</t>
  </si>
  <si>
    <t>Link 5 (R-PUSAT &lt;-&gt; R-BARAT)</t>
  </si>
  <si>
    <t>10.121.161.0</t>
  </si>
  <si>
    <t>10.121.161.1</t>
  </si>
  <si>
    <t>10.121.161.2</t>
  </si>
  <si>
    <t>10.121.161.3</t>
  </si>
  <si>
    <t>10.121.192.0 - 10.121.207.255</t>
  </si>
  <si>
    <t>10.121.192.0</t>
  </si>
  <si>
    <t>10.121.192.1</t>
  </si>
  <si>
    <t>10.121.199.254</t>
  </si>
  <si>
    <t>10.121.199.255</t>
  </si>
  <si>
    <t>10.121.200.0</t>
  </si>
  <si>
    <t>10.121.200.1</t>
  </si>
  <si>
    <t>10.121.200.30</t>
  </si>
  <si>
    <t>10.121.200.31</t>
  </si>
  <si>
    <t>Supernet terhadap /15</t>
  </si>
  <si>
    <t>Yang digunakan terhadap 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</si>
</sst>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/&quot;0"/>
    <numFmt numFmtId="165" formatCode="0.0%"/>
  </numFmts>
  <fonts count="1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8"/>
      <color theme="1"/>
      <name val="Consolas"/>
    </font>
    <font>
      <b/>
      <sz val="10"/>
      <color theme="1"/>
      <name val="Arial"/>
      <scheme val="minor"/>
    </font>
    <font>
      <sz val="12"/>
      <color theme="1"/>
      <name val="Consolas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4"/>
      <color theme="1"/>
      <name val="Consolas"/>
    </font>
    <font>
      <sz val="10"/>
      <color rgb="FFCCCCCC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Arial"/>
      <family val="2"/>
    </font>
    <font>
      <sz val="12"/>
      <color theme="1"/>
      <name val="Arial"/>
      <family val="2"/>
      <scheme val="minor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0" fontId="7" fillId="0" borderId="5" xfId="0" applyNumberFormat="1" applyFont="1" applyBorder="1" applyAlignment="1">
      <alignment horizontal="center" vertical="center" wrapText="1"/>
    </xf>
    <xf numFmtId="10" fontId="7" fillId="0" borderId="16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7" fillId="3" borderId="1" xfId="0" applyNumberFormat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3" fontId="7" fillId="0" borderId="22" xfId="0" applyNumberFormat="1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/>
    <xf numFmtId="0" fontId="12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6" fillId="0" borderId="5" xfId="0" applyFont="1" applyBorder="1"/>
    <xf numFmtId="0" fontId="16" fillId="0" borderId="6" xfId="0" applyFont="1" applyBorder="1"/>
    <xf numFmtId="0" fontId="9" fillId="0" borderId="0" xfId="0" applyFont="1" applyAlignment="1">
      <alignment horizontal="left"/>
    </xf>
    <xf numFmtId="0" fontId="0" fillId="0" borderId="0" xfId="0"/>
    <xf numFmtId="0" fontId="7" fillId="0" borderId="7" xfId="0" applyFont="1" applyBorder="1" applyAlignment="1">
      <alignment horizontal="center" vertical="center" wrapText="1"/>
    </xf>
    <xf numFmtId="0" fontId="8" fillId="0" borderId="8" xfId="0" applyFont="1" applyBorder="1"/>
    <xf numFmtId="0" fontId="7" fillId="0" borderId="2" xfId="0" applyFont="1" applyBorder="1" applyAlignment="1">
      <alignment horizontal="center" vertical="center"/>
    </xf>
    <xf numFmtId="0" fontId="8" fillId="0" borderId="6" xfId="0" applyFont="1" applyBorder="1"/>
    <xf numFmtId="164" fontId="7" fillId="0" borderId="2" xfId="0" applyNumberFormat="1" applyFont="1" applyBorder="1" applyAlignment="1">
      <alignment horizontal="center" vertical="center"/>
    </xf>
    <xf numFmtId="0" fontId="8" fillId="0" borderId="5" xfId="0" applyFont="1" applyBorder="1"/>
    <xf numFmtId="0" fontId="7" fillId="0" borderId="19" xfId="0" applyFont="1" applyBorder="1" applyAlignment="1">
      <alignment horizontal="center" vertical="center"/>
    </xf>
    <xf numFmtId="0" fontId="8" fillId="0" borderId="18" xfId="0" applyFont="1" applyBorder="1"/>
    <xf numFmtId="0" fontId="7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2" borderId="3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8" fillId="0" borderId="15" xfId="0" applyFont="1" applyBorder="1"/>
    <xf numFmtId="0" fontId="7" fillId="0" borderId="16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tabSelected="1" workbookViewId="0">
      <selection activeCell="B1" sqref="B1"/>
    </sheetView>
  </sheetViews>
  <sheetFormatPr defaultColWidth="12.5703125" defaultRowHeight="15.75" customHeight="1" x14ac:dyDescent="0.2"/>
  <cols>
    <col min="2" max="2" width="35.140625" customWidth="1"/>
    <col min="3" max="3" width="20.140625" customWidth="1"/>
    <col min="4" max="4" width="19.28515625" customWidth="1"/>
    <col min="6" max="6" width="39.140625" customWidth="1"/>
    <col min="7" max="7" width="33" customWidth="1"/>
    <col min="8" max="8" width="15.7109375" customWidth="1"/>
  </cols>
  <sheetData>
    <row r="1" spans="1:9" ht="23.25" x14ac:dyDescent="0.35">
      <c r="A1" s="1"/>
      <c r="B1" s="1" t="s">
        <v>2</v>
      </c>
    </row>
    <row r="2" spans="1:9" x14ac:dyDescent="0.25">
      <c r="A2" s="2"/>
      <c r="B2" s="3" t="s">
        <v>5</v>
      </c>
      <c r="C2" s="2"/>
      <c r="D2" s="2"/>
    </row>
    <row r="3" spans="1:9" ht="12.75" x14ac:dyDescent="0.2">
      <c r="A3" s="2"/>
      <c r="B3" s="2"/>
      <c r="C3" s="2"/>
      <c r="D3" s="2"/>
    </row>
    <row r="4" spans="1:9" ht="12.75" x14ac:dyDescent="0.2">
      <c r="A4" s="2"/>
      <c r="B4" s="4" t="s">
        <v>10</v>
      </c>
      <c r="C4" s="4" t="s">
        <v>13</v>
      </c>
      <c r="D4" s="4" t="s">
        <v>14</v>
      </c>
    </row>
    <row r="5" spans="1:9" ht="15" x14ac:dyDescent="0.2">
      <c r="A5" s="5"/>
      <c r="B5" s="69">
        <v>15</v>
      </c>
      <c r="C5" s="56">
        <v>5027251005</v>
      </c>
      <c r="D5" s="56" t="s">
        <v>21</v>
      </c>
    </row>
    <row r="6" spans="1:9" ht="15" x14ac:dyDescent="0.2">
      <c r="A6" s="5"/>
      <c r="B6" s="70"/>
      <c r="C6" s="56">
        <v>5027251025</v>
      </c>
      <c r="D6" s="56" t="s">
        <v>23</v>
      </c>
    </row>
    <row r="7" spans="1:9" ht="15" x14ac:dyDescent="0.2">
      <c r="A7" s="5"/>
      <c r="B7" s="71"/>
      <c r="C7" s="56">
        <v>5027251055</v>
      </c>
      <c r="D7" s="56" t="s">
        <v>24</v>
      </c>
      <c r="I7" s="7"/>
    </row>
    <row r="10" spans="1:9" ht="18.75" x14ac:dyDescent="0.3">
      <c r="B10" s="72"/>
      <c r="C10" s="73"/>
      <c r="D10" s="9"/>
    </row>
    <row r="11" spans="1:9" ht="12.75" x14ac:dyDescent="0.2">
      <c r="B11" s="11"/>
      <c r="C11" s="11"/>
      <c r="D11" s="9"/>
    </row>
    <row r="12" spans="1:9" ht="52.5" customHeight="1" x14ac:dyDescent="0.2">
      <c r="B12" s="12" t="s">
        <v>29</v>
      </c>
      <c r="C12" s="66" t="s">
        <v>30</v>
      </c>
      <c r="D12" s="67"/>
      <c r="F12" s="12" t="s">
        <v>31</v>
      </c>
      <c r="G12" s="66" t="s">
        <v>32</v>
      </c>
      <c r="H12" s="67"/>
    </row>
    <row r="13" spans="1:9" ht="43.5" customHeight="1" x14ac:dyDescent="0.2">
      <c r="B13" s="13" t="s">
        <v>33</v>
      </c>
      <c r="C13" s="74" t="s">
        <v>34</v>
      </c>
      <c r="D13" s="75"/>
      <c r="F13" s="12" t="s">
        <v>36</v>
      </c>
      <c r="G13" s="68" t="s">
        <v>37</v>
      </c>
      <c r="H13" s="67"/>
    </row>
    <row r="14" spans="1:9" ht="82.5" customHeight="1" x14ac:dyDescent="0.2">
      <c r="B14" s="12" t="s">
        <v>38</v>
      </c>
      <c r="C14" s="66" t="s">
        <v>39</v>
      </c>
      <c r="D14" s="67"/>
      <c r="F14" s="15" t="s">
        <v>40</v>
      </c>
      <c r="G14" s="68" t="s">
        <v>41</v>
      </c>
      <c r="H14" s="67"/>
    </row>
    <row r="15" spans="1:9" ht="43.5" customHeight="1" x14ac:dyDescent="0.2"/>
    <row r="16" spans="1:9" ht="43.5" customHeight="1" x14ac:dyDescent="0.2">
      <c r="B16" s="7"/>
      <c r="C16" s="7"/>
      <c r="D16" s="7"/>
    </row>
    <row r="17" spans="2:4" ht="43.5" customHeight="1" x14ac:dyDescent="0.2">
      <c r="B17" s="7"/>
      <c r="C17" s="7"/>
      <c r="D17" s="7"/>
    </row>
    <row r="18" spans="2:4" ht="43.5" customHeight="1" x14ac:dyDescent="0.2">
      <c r="B18" s="7"/>
      <c r="C18" s="7"/>
      <c r="D18" s="7"/>
    </row>
    <row r="19" spans="2:4" ht="43.5" customHeight="1" x14ac:dyDescent="0.2">
      <c r="B19" s="7"/>
      <c r="C19" s="7"/>
      <c r="D19" s="7"/>
    </row>
    <row r="20" spans="2:4" ht="43.5" customHeight="1" x14ac:dyDescent="0.2">
      <c r="B20" s="7"/>
      <c r="C20" s="7"/>
      <c r="D20" s="7"/>
    </row>
    <row r="21" spans="2:4" ht="43.5" customHeight="1" x14ac:dyDescent="0.2"/>
  </sheetData>
  <mergeCells count="8">
    <mergeCell ref="C14:D14"/>
    <mergeCell ref="G14:H14"/>
    <mergeCell ref="B5:B7"/>
    <mergeCell ref="B10:C10"/>
    <mergeCell ref="C12:D12"/>
    <mergeCell ref="G12:H12"/>
    <mergeCell ref="C13:D13"/>
    <mergeCell ref="G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H24"/>
  <sheetViews>
    <sheetView workbookViewId="0">
      <selection activeCell="F7" sqref="F7"/>
    </sheetView>
  </sheetViews>
  <sheetFormatPr defaultColWidth="12.5703125" defaultRowHeight="15.75" customHeight="1" x14ac:dyDescent="0.2"/>
  <cols>
    <col min="2" max="2" width="8.85546875" customWidth="1"/>
    <col min="3" max="3" width="16.42578125" customWidth="1"/>
    <col min="4" max="8" width="15.140625" customWidth="1"/>
  </cols>
  <sheetData>
    <row r="1" spans="2:8" ht="23.25" x14ac:dyDescent="0.35">
      <c r="B1" s="1" t="s">
        <v>1</v>
      </c>
    </row>
    <row r="4" spans="2:8" ht="21" customHeight="1" x14ac:dyDescent="0.2">
      <c r="B4" s="52" t="s">
        <v>4</v>
      </c>
      <c r="C4" s="52" t="s">
        <v>7</v>
      </c>
      <c r="D4" s="52" t="s">
        <v>8</v>
      </c>
      <c r="E4" s="52" t="s">
        <v>11</v>
      </c>
      <c r="F4" s="52" t="s">
        <v>12</v>
      </c>
      <c r="G4" s="52" t="s">
        <v>17</v>
      </c>
      <c r="H4" s="52" t="s">
        <v>18</v>
      </c>
    </row>
    <row r="5" spans="2:8" ht="21" customHeight="1" x14ac:dyDescent="0.2">
      <c r="B5" s="53">
        <v>1</v>
      </c>
      <c r="C5" s="53" t="s">
        <v>20</v>
      </c>
      <c r="D5" s="54">
        <v>11000</v>
      </c>
      <c r="E5" s="54">
        <f t="shared" ref="E5:E18" si="0">D5+2</f>
        <v>11002</v>
      </c>
      <c r="F5" s="55">
        <f t="shared" ref="F5:F18" si="1">32-ROUNDUP(ROUND(LOG(E5,2),9),0)</f>
        <v>18</v>
      </c>
      <c r="G5" s="53">
        <f t="shared" ref="G5:G18" si="2">2^(32-F5)</f>
        <v>16384</v>
      </c>
      <c r="H5" s="53" t="str">
        <f t="shared" ref="H5:H18" si="3">INT((2^32-G5)/2^24)&amp;"."&amp;MOD(INT((2^32-G5)/2^16),256)&amp;"."&amp;MOD(INT((2^32-G5)/2^8),256)&amp;"."&amp;MOD(2^32-G5,256)</f>
        <v>255.255.192.0</v>
      </c>
    </row>
    <row r="6" spans="2:8" ht="21" customHeight="1" x14ac:dyDescent="0.2">
      <c r="B6" s="53">
        <v>2</v>
      </c>
      <c r="C6" s="53" t="s">
        <v>73</v>
      </c>
      <c r="D6" s="54">
        <v>6500</v>
      </c>
      <c r="E6" s="54">
        <f t="shared" si="0"/>
        <v>6502</v>
      </c>
      <c r="F6" s="55">
        <f t="shared" si="1"/>
        <v>19</v>
      </c>
      <c r="G6" s="53">
        <f t="shared" si="2"/>
        <v>8192</v>
      </c>
      <c r="H6" s="53" t="str">
        <f t="shared" si="3"/>
        <v>255.255.224.0</v>
      </c>
    </row>
    <row r="7" spans="2:8" ht="21" customHeight="1" x14ac:dyDescent="0.2">
      <c r="B7" s="53">
        <v>3</v>
      </c>
      <c r="C7" s="53" t="s">
        <v>51</v>
      </c>
      <c r="D7" s="54">
        <v>6000</v>
      </c>
      <c r="E7" s="54">
        <f t="shared" si="0"/>
        <v>6002</v>
      </c>
      <c r="F7" s="55">
        <f t="shared" si="1"/>
        <v>19</v>
      </c>
      <c r="G7" s="53">
        <f t="shared" si="2"/>
        <v>8192</v>
      </c>
      <c r="H7" s="53" t="str">
        <f t="shared" si="3"/>
        <v>255.255.224.0</v>
      </c>
    </row>
    <row r="8" spans="2:8" ht="21" customHeight="1" x14ac:dyDescent="0.2">
      <c r="B8" s="53">
        <v>4</v>
      </c>
      <c r="C8" s="53" t="s">
        <v>85</v>
      </c>
      <c r="D8" s="54">
        <v>5500</v>
      </c>
      <c r="E8" s="54">
        <f t="shared" si="0"/>
        <v>5502</v>
      </c>
      <c r="F8" s="55">
        <f t="shared" si="1"/>
        <v>19</v>
      </c>
      <c r="G8" s="53">
        <f t="shared" si="2"/>
        <v>8192</v>
      </c>
      <c r="H8" s="53" t="str">
        <f t="shared" si="3"/>
        <v>255.255.224.0</v>
      </c>
    </row>
    <row r="9" spans="2:8" ht="21" customHeight="1" x14ac:dyDescent="0.2">
      <c r="B9" s="53">
        <v>5</v>
      </c>
      <c r="C9" s="53" t="s">
        <v>88</v>
      </c>
      <c r="D9" s="54">
        <v>5000</v>
      </c>
      <c r="E9" s="54">
        <f t="shared" si="0"/>
        <v>5002</v>
      </c>
      <c r="F9" s="55">
        <f t="shared" si="1"/>
        <v>19</v>
      </c>
      <c r="G9" s="53">
        <f t="shared" si="2"/>
        <v>8192</v>
      </c>
      <c r="H9" s="53" t="str">
        <f t="shared" si="3"/>
        <v>255.255.224.0</v>
      </c>
    </row>
    <row r="10" spans="2:8" ht="21" customHeight="1" x14ac:dyDescent="0.2">
      <c r="B10" s="53">
        <v>6</v>
      </c>
      <c r="C10" s="53" t="s">
        <v>89</v>
      </c>
      <c r="D10" s="54">
        <v>4500</v>
      </c>
      <c r="E10" s="54">
        <f t="shared" si="0"/>
        <v>4502</v>
      </c>
      <c r="F10" s="55">
        <f t="shared" si="1"/>
        <v>19</v>
      </c>
      <c r="G10" s="53">
        <f t="shared" si="2"/>
        <v>8192</v>
      </c>
      <c r="H10" s="53" t="str">
        <f t="shared" si="3"/>
        <v>255.255.224.0</v>
      </c>
    </row>
    <row r="11" spans="2:8" ht="21" customHeight="1" x14ac:dyDescent="0.2">
      <c r="B11" s="53">
        <v>7</v>
      </c>
      <c r="C11" s="53" t="s">
        <v>86</v>
      </c>
      <c r="D11" s="54">
        <v>1800</v>
      </c>
      <c r="E11" s="54">
        <f t="shared" si="0"/>
        <v>1802</v>
      </c>
      <c r="F11" s="55">
        <f t="shared" si="1"/>
        <v>21</v>
      </c>
      <c r="G11" s="53">
        <f t="shared" si="2"/>
        <v>2048</v>
      </c>
      <c r="H11" s="53" t="str">
        <f t="shared" si="3"/>
        <v>255.255.248.0</v>
      </c>
    </row>
    <row r="12" spans="2:8" ht="21" customHeight="1" x14ac:dyDescent="0.2">
      <c r="B12" s="53">
        <v>8</v>
      </c>
      <c r="C12" s="53" t="s">
        <v>94</v>
      </c>
      <c r="D12" s="54">
        <v>700</v>
      </c>
      <c r="E12" s="54">
        <f t="shared" si="0"/>
        <v>702</v>
      </c>
      <c r="F12" s="55">
        <f t="shared" si="1"/>
        <v>22</v>
      </c>
      <c r="G12" s="53">
        <f t="shared" si="2"/>
        <v>1024</v>
      </c>
      <c r="H12" s="53" t="str">
        <f t="shared" si="3"/>
        <v>255.255.252.0</v>
      </c>
    </row>
    <row r="13" spans="2:8" ht="21" customHeight="1" x14ac:dyDescent="0.2">
      <c r="B13" s="53">
        <v>9</v>
      </c>
      <c r="C13" s="53" t="s">
        <v>97</v>
      </c>
      <c r="D13" s="54">
        <v>450</v>
      </c>
      <c r="E13" s="54">
        <f t="shared" si="0"/>
        <v>452</v>
      </c>
      <c r="F13" s="55">
        <f t="shared" si="1"/>
        <v>23</v>
      </c>
      <c r="G13" s="53">
        <f t="shared" si="2"/>
        <v>512</v>
      </c>
      <c r="H13" s="53" t="str">
        <f t="shared" si="3"/>
        <v>255.255.254.0</v>
      </c>
    </row>
    <row r="14" spans="2:8" ht="21" customHeight="1" x14ac:dyDescent="0.2">
      <c r="B14" s="53">
        <v>10</v>
      </c>
      <c r="C14" s="53" t="s">
        <v>102</v>
      </c>
      <c r="D14" s="54">
        <v>220</v>
      </c>
      <c r="E14" s="54">
        <f t="shared" si="0"/>
        <v>222</v>
      </c>
      <c r="F14" s="55">
        <f t="shared" si="1"/>
        <v>24</v>
      </c>
      <c r="G14" s="53">
        <f t="shared" si="2"/>
        <v>256</v>
      </c>
      <c r="H14" s="53" t="str">
        <f t="shared" si="3"/>
        <v>255.255.255.0</v>
      </c>
    </row>
    <row r="15" spans="2:8" ht="21" customHeight="1" x14ac:dyDescent="0.2">
      <c r="B15" s="53">
        <v>11</v>
      </c>
      <c r="C15" s="53" t="s">
        <v>106</v>
      </c>
      <c r="D15" s="54">
        <v>180</v>
      </c>
      <c r="E15" s="54">
        <f t="shared" si="0"/>
        <v>182</v>
      </c>
      <c r="F15" s="55">
        <f t="shared" si="1"/>
        <v>24</v>
      </c>
      <c r="G15" s="53">
        <f t="shared" si="2"/>
        <v>256</v>
      </c>
      <c r="H15" s="53" t="str">
        <f t="shared" si="3"/>
        <v>255.255.255.0</v>
      </c>
    </row>
    <row r="16" spans="2:8" ht="21" customHeight="1" x14ac:dyDescent="0.2">
      <c r="B16" s="53">
        <v>12</v>
      </c>
      <c r="C16" s="53" t="s">
        <v>109</v>
      </c>
      <c r="D16" s="54">
        <v>120</v>
      </c>
      <c r="E16" s="54">
        <f t="shared" si="0"/>
        <v>122</v>
      </c>
      <c r="F16" s="55">
        <f t="shared" si="1"/>
        <v>25</v>
      </c>
      <c r="G16" s="53">
        <f t="shared" si="2"/>
        <v>128</v>
      </c>
      <c r="H16" s="53" t="str">
        <f t="shared" si="3"/>
        <v>255.255.255.128</v>
      </c>
    </row>
    <row r="17" spans="2:8" ht="21" customHeight="1" x14ac:dyDescent="0.2">
      <c r="B17" s="53">
        <v>13</v>
      </c>
      <c r="C17" s="53" t="s">
        <v>114</v>
      </c>
      <c r="D17" s="54">
        <v>90</v>
      </c>
      <c r="E17" s="54">
        <f t="shared" si="0"/>
        <v>92</v>
      </c>
      <c r="F17" s="55">
        <f t="shared" si="1"/>
        <v>25</v>
      </c>
      <c r="G17" s="53">
        <f t="shared" si="2"/>
        <v>128</v>
      </c>
      <c r="H17" s="53" t="str">
        <f t="shared" si="3"/>
        <v>255.255.255.128</v>
      </c>
    </row>
    <row r="18" spans="2:8" ht="21" customHeight="1" x14ac:dyDescent="0.2">
      <c r="B18" s="53">
        <v>14</v>
      </c>
      <c r="C18" s="53" t="s">
        <v>116</v>
      </c>
      <c r="D18" s="54">
        <v>20</v>
      </c>
      <c r="E18" s="54">
        <f t="shared" si="0"/>
        <v>22</v>
      </c>
      <c r="F18" s="55">
        <f t="shared" si="1"/>
        <v>27</v>
      </c>
      <c r="G18" s="53">
        <f t="shared" si="2"/>
        <v>32</v>
      </c>
      <c r="H18" s="53" t="str">
        <f t="shared" si="3"/>
        <v>255.255.255.224</v>
      </c>
    </row>
    <row r="19" spans="2:8" ht="21" customHeight="1" x14ac:dyDescent="0.2">
      <c r="B19" s="5"/>
      <c r="C19" s="5"/>
      <c r="D19" s="16"/>
      <c r="E19" s="5"/>
      <c r="F19" s="5"/>
      <c r="G19" s="5"/>
      <c r="H19" s="5"/>
    </row>
    <row r="20" spans="2:8" ht="21" customHeight="1" x14ac:dyDescent="0.2">
      <c r="B20" s="5"/>
      <c r="C20" s="5"/>
      <c r="D20" s="5"/>
      <c r="E20" s="5"/>
      <c r="F20" s="5"/>
      <c r="G20" s="5"/>
      <c r="H20" s="5"/>
    </row>
    <row r="21" spans="2:8" ht="12.75" x14ac:dyDescent="0.2">
      <c r="B21" s="5"/>
      <c r="C21" s="5"/>
      <c r="D21" s="5"/>
      <c r="E21" s="5"/>
      <c r="F21" s="5"/>
      <c r="G21" s="5"/>
      <c r="H21" s="5"/>
    </row>
    <row r="22" spans="2:8" ht="12.75" x14ac:dyDescent="0.2">
      <c r="B22" s="5"/>
      <c r="C22" s="5"/>
      <c r="D22" s="5"/>
      <c r="E22" s="5"/>
      <c r="F22" s="5"/>
      <c r="G22" s="5"/>
      <c r="H22" s="5"/>
    </row>
    <row r="23" spans="2:8" ht="12.75" x14ac:dyDescent="0.2">
      <c r="B23" s="5"/>
      <c r="C23" s="5"/>
      <c r="D23" s="5"/>
      <c r="E23" s="5"/>
      <c r="F23" s="5"/>
      <c r="G23" s="5"/>
      <c r="H23" s="5"/>
    </row>
    <row r="24" spans="2:8" ht="12.75" x14ac:dyDescent="0.2">
      <c r="B24" s="5"/>
      <c r="C24" s="5"/>
      <c r="D24" s="5"/>
      <c r="E24" s="5"/>
      <c r="F24" s="5"/>
      <c r="G24" s="5"/>
      <c r="H2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K34"/>
  <sheetViews>
    <sheetView workbookViewId="0">
      <selection activeCell="B31" sqref="B31:F31"/>
    </sheetView>
  </sheetViews>
  <sheetFormatPr defaultColWidth="12.5703125" defaultRowHeight="15.75" customHeight="1" x14ac:dyDescent="0.2"/>
  <cols>
    <col min="2" max="2" width="8.85546875" customWidth="1"/>
    <col min="3" max="3" width="28.85546875" customWidth="1"/>
    <col min="4" max="4" width="25.140625" customWidth="1"/>
    <col min="5" max="5" width="15.140625" customWidth="1"/>
    <col min="6" max="8" width="18.85546875" customWidth="1"/>
    <col min="9" max="9" width="22.28515625" bestFit="1" customWidth="1"/>
    <col min="10" max="10" width="18.85546875" customWidth="1"/>
  </cols>
  <sheetData>
    <row r="1" spans="2:11" ht="23.25" x14ac:dyDescent="0.35">
      <c r="B1" s="1" t="s">
        <v>0</v>
      </c>
    </row>
    <row r="3" spans="2:11" ht="21" customHeight="1" x14ac:dyDescent="0.2">
      <c r="B3" s="59" t="s">
        <v>3</v>
      </c>
      <c r="C3" s="59" t="s">
        <v>6</v>
      </c>
      <c r="D3" s="59" t="s">
        <v>9</v>
      </c>
      <c r="E3" s="59" t="s">
        <v>12</v>
      </c>
      <c r="F3" s="59" t="s">
        <v>15</v>
      </c>
      <c r="G3" s="57" t="s">
        <v>16</v>
      </c>
      <c r="H3" s="58"/>
      <c r="I3" s="59" t="s">
        <v>19</v>
      </c>
      <c r="J3" s="59" t="s">
        <v>22</v>
      </c>
      <c r="K3" s="5"/>
    </row>
    <row r="4" spans="2:11" ht="21" customHeight="1" x14ac:dyDescent="0.2">
      <c r="B4" s="60"/>
      <c r="C4" s="60"/>
      <c r="D4" s="60"/>
      <c r="E4" s="60"/>
      <c r="F4" s="60"/>
      <c r="G4" s="8" t="s">
        <v>25</v>
      </c>
      <c r="H4" s="8" t="s">
        <v>26</v>
      </c>
      <c r="I4" s="60"/>
      <c r="J4" s="60"/>
      <c r="K4" s="5"/>
    </row>
    <row r="5" spans="2:11" ht="21" customHeight="1" x14ac:dyDescent="0.2">
      <c r="B5" s="10">
        <v>1</v>
      </c>
      <c r="C5" s="10" t="s">
        <v>27</v>
      </c>
      <c r="D5" s="10" t="s">
        <v>28</v>
      </c>
      <c r="E5" s="50">
        <f t="array" ref="E5">IF(LEFT(C5,4)="Link",30,VALUE(SUBSTITUTE(INDEX(Kebutuhan!$F$5:$F$18,MATCH(B5,Kebutuhan!$B$5:$B$18,0)),"/","")))</f>
        <v>18</v>
      </c>
      <c r="F5" s="10" t="s">
        <v>42</v>
      </c>
      <c r="G5" s="10" t="s">
        <v>42</v>
      </c>
      <c r="H5" s="10" t="s">
        <v>43</v>
      </c>
      <c r="I5" s="10" t="s">
        <v>44</v>
      </c>
      <c r="J5" s="6">
        <v>0</v>
      </c>
      <c r="K5" s="5"/>
    </row>
    <row r="6" spans="2:11" ht="21" customHeight="1" x14ac:dyDescent="0.2">
      <c r="B6" s="10">
        <v>2</v>
      </c>
      <c r="C6" s="10" t="s">
        <v>45</v>
      </c>
      <c r="D6" s="10" t="s">
        <v>46</v>
      </c>
      <c r="E6" s="50">
        <f t="array" ref="E6">IF(LEFT(C6,4)="Link",30,VALUE(SUBSTITUTE(INDEX(Kebutuhan!$F$5:$F$18,MATCH(B6,Kebutuhan!$B$5:$B$18,0)),"/","")))</f>
        <v>19</v>
      </c>
      <c r="F6" s="10" t="s">
        <v>47</v>
      </c>
      <c r="G6" s="10" t="s">
        <v>48</v>
      </c>
      <c r="H6" s="10" t="s">
        <v>49</v>
      </c>
      <c r="I6" s="10" t="s">
        <v>50</v>
      </c>
      <c r="J6" s="6">
        <f t="shared" ref="J6:J25" si="0">J5+2^(32-E5)</f>
        <v>16384</v>
      </c>
      <c r="K6" s="5"/>
    </row>
    <row r="7" spans="2:11" ht="21" customHeight="1" x14ac:dyDescent="0.2">
      <c r="B7" s="10">
        <v>3</v>
      </c>
      <c r="C7" s="10" t="s">
        <v>51</v>
      </c>
      <c r="D7" s="10" t="s">
        <v>52</v>
      </c>
      <c r="E7" s="50">
        <f t="array" ref="E7">IF(LEFT(C7,4)="Link",30,VALUE(SUBSTITUTE(INDEX(Kebutuhan!$F$5:$F$18,MATCH(B7,Kebutuhan!$B$5:$B$18,0)),"/","")))</f>
        <v>19</v>
      </c>
      <c r="F7" s="10" t="s">
        <v>55</v>
      </c>
      <c r="G7" s="10" t="s">
        <v>56</v>
      </c>
      <c r="H7" s="10" t="s">
        <v>57</v>
      </c>
      <c r="I7" s="10" t="s">
        <v>58</v>
      </c>
      <c r="J7" s="6">
        <f t="shared" si="0"/>
        <v>24576</v>
      </c>
      <c r="K7" s="5"/>
    </row>
    <row r="8" spans="2:11" ht="21" customHeight="1" x14ac:dyDescent="0.2">
      <c r="B8" s="10">
        <v>4</v>
      </c>
      <c r="C8" s="10" t="s">
        <v>60</v>
      </c>
      <c r="D8" s="10" t="s">
        <v>61</v>
      </c>
      <c r="E8" s="50">
        <f t="array" ref="E8">IF(LEFT(C8,4)="Link",30,VALUE(SUBSTITUTE(INDEX(Kebutuhan!$F$5:$F$18,MATCH(B8,Kebutuhan!$B$5:$B$18,0)),"/","")))</f>
        <v>19</v>
      </c>
      <c r="F8" s="10" t="s">
        <v>65</v>
      </c>
      <c r="G8" s="10" t="s">
        <v>66</v>
      </c>
      <c r="H8" s="10" t="s">
        <v>67</v>
      </c>
      <c r="I8" s="10" t="s">
        <v>68</v>
      </c>
      <c r="J8" s="6">
        <f t="shared" si="0"/>
        <v>32768</v>
      </c>
      <c r="K8" s="5"/>
    </row>
    <row r="9" spans="2:11" ht="21" customHeight="1" x14ac:dyDescent="0.2">
      <c r="B9" s="10">
        <v>5</v>
      </c>
      <c r="C9" s="10" t="s">
        <v>70</v>
      </c>
      <c r="D9" s="10" t="s">
        <v>71</v>
      </c>
      <c r="E9" s="50">
        <f t="array" ref="E9">IF(LEFT(C9,4)="Link",30,VALUE(SUBSTITUTE(INDEX(Kebutuhan!$F$5:$F$18,MATCH(B9,Kebutuhan!$B$5:$B$18,0)),"/","")))</f>
        <v>19</v>
      </c>
      <c r="F9" s="10" t="s">
        <v>75</v>
      </c>
      <c r="G9" s="10" t="s">
        <v>76</v>
      </c>
      <c r="H9" s="10" t="s">
        <v>77</v>
      </c>
      <c r="I9" s="10" t="s">
        <v>78</v>
      </c>
      <c r="J9" s="6">
        <f t="shared" si="0"/>
        <v>40960</v>
      </c>
      <c r="K9" s="5"/>
    </row>
    <row r="10" spans="2:11" ht="21" customHeight="1" x14ac:dyDescent="0.2">
      <c r="B10" s="10">
        <v>6</v>
      </c>
      <c r="C10" s="10" t="s">
        <v>79</v>
      </c>
      <c r="D10" s="10" t="s">
        <v>80</v>
      </c>
      <c r="E10" s="50">
        <f t="array" ref="E10">IF(LEFT(C10,4)="Link",30,VALUE(SUBSTITUTE(INDEX(Kebutuhan!$F$5:$F$18,MATCH(B10,Kebutuhan!$B$5:$B$18,0)),"/","")))</f>
        <v>19</v>
      </c>
      <c r="F10" s="10" t="s">
        <v>81</v>
      </c>
      <c r="G10" s="10" t="s">
        <v>82</v>
      </c>
      <c r="H10" s="10" t="s">
        <v>83</v>
      </c>
      <c r="I10" s="10" t="s">
        <v>84</v>
      </c>
      <c r="J10" s="6">
        <f t="shared" si="0"/>
        <v>49152</v>
      </c>
      <c r="K10" s="5"/>
    </row>
    <row r="11" spans="2:11" ht="21" customHeight="1" x14ac:dyDescent="0.2">
      <c r="B11" s="10">
        <v>7</v>
      </c>
      <c r="C11" s="10" t="s">
        <v>86</v>
      </c>
      <c r="D11" s="10" t="s">
        <v>87</v>
      </c>
      <c r="E11" s="50">
        <f t="array" ref="E11">IF(LEFT(C11,4)="Link",30,VALUE(SUBSTITUTE(INDEX(Kebutuhan!$F$5:$F$18,MATCH(B11,Kebutuhan!$B$5:$B$18,0)),"/","")))</f>
        <v>21</v>
      </c>
      <c r="F11" s="10" t="s">
        <v>90</v>
      </c>
      <c r="G11" s="10" t="s">
        <v>91</v>
      </c>
      <c r="H11" s="10" t="s">
        <v>92</v>
      </c>
      <c r="I11" s="10" t="s">
        <v>93</v>
      </c>
      <c r="J11" s="6">
        <f t="shared" si="0"/>
        <v>57344</v>
      </c>
      <c r="K11" s="5"/>
    </row>
    <row r="12" spans="2:11" ht="21" customHeight="1" x14ac:dyDescent="0.2">
      <c r="B12" s="10">
        <v>8</v>
      </c>
      <c r="C12" s="10" t="s">
        <v>94</v>
      </c>
      <c r="D12" s="10" t="s">
        <v>61</v>
      </c>
      <c r="E12" s="50">
        <f t="array" ref="E12">IF(LEFT(C12,4)="Link",30,VALUE(SUBSTITUTE(INDEX(Kebutuhan!$F$5:$F$18,MATCH(B12,Kebutuhan!$B$5:$B$18,0)),"/","")))</f>
        <v>22</v>
      </c>
      <c r="F12" s="10" t="s">
        <v>96</v>
      </c>
      <c r="G12" s="10" t="s">
        <v>98</v>
      </c>
      <c r="H12" s="10" t="s">
        <v>99</v>
      </c>
      <c r="I12" s="10" t="s">
        <v>100</v>
      </c>
      <c r="J12" s="6">
        <f t="shared" si="0"/>
        <v>59392</v>
      </c>
      <c r="K12" s="5"/>
    </row>
    <row r="13" spans="2:11" ht="21" customHeight="1" x14ac:dyDescent="0.2">
      <c r="B13" s="10">
        <v>9</v>
      </c>
      <c r="C13" s="10" t="s">
        <v>101</v>
      </c>
      <c r="D13" s="10" t="s">
        <v>28</v>
      </c>
      <c r="E13" s="50">
        <f t="array" ref="E13">IF(LEFT(C13,4)="Link",30,VALUE(SUBSTITUTE(INDEX(Kebutuhan!$F$5:$F$18,MATCH(B13,Kebutuhan!$B$5:$B$18,0)),"/","")))</f>
        <v>23</v>
      </c>
      <c r="F13" s="10" t="s">
        <v>103</v>
      </c>
      <c r="G13" s="10" t="s">
        <v>104</v>
      </c>
      <c r="H13" s="10" t="s">
        <v>105</v>
      </c>
      <c r="I13" s="10" t="s">
        <v>107</v>
      </c>
      <c r="J13" s="6">
        <f t="shared" si="0"/>
        <v>60416</v>
      </c>
      <c r="K13" s="5"/>
    </row>
    <row r="14" spans="2:11" ht="21" customHeight="1" x14ac:dyDescent="0.2">
      <c r="B14" s="10">
        <v>10</v>
      </c>
      <c r="C14" s="10" t="s">
        <v>108</v>
      </c>
      <c r="D14" s="10" t="s">
        <v>80</v>
      </c>
      <c r="E14" s="50">
        <f t="array" ref="E14">IF(LEFT(C14,4)="Link",30,VALUE(SUBSTITUTE(INDEX(Kebutuhan!$F$5:$F$18,MATCH(B14,Kebutuhan!$B$5:$B$18,0)),"/","")))</f>
        <v>24</v>
      </c>
      <c r="F14" s="10" t="s">
        <v>110</v>
      </c>
      <c r="G14" s="10" t="s">
        <v>111</v>
      </c>
      <c r="H14" s="10" t="s">
        <v>112</v>
      </c>
      <c r="I14" s="10" t="s">
        <v>113</v>
      </c>
      <c r="J14" s="6">
        <f t="shared" si="0"/>
        <v>60928</v>
      </c>
      <c r="K14" s="5"/>
    </row>
    <row r="15" spans="2:11" ht="21" customHeight="1" x14ac:dyDescent="0.2">
      <c r="B15" s="10">
        <v>11</v>
      </c>
      <c r="C15" s="10" t="s">
        <v>115</v>
      </c>
      <c r="D15" s="10" t="s">
        <v>52</v>
      </c>
      <c r="E15" s="50">
        <f t="array" ref="E15">IF(LEFT(C15,4)="Link",30,VALUE(SUBSTITUTE(INDEX(Kebutuhan!$F$5:$F$18,MATCH(B15,Kebutuhan!$B$5:$B$18,0)),"/","")))</f>
        <v>24</v>
      </c>
      <c r="F15" s="10" t="s">
        <v>117</v>
      </c>
      <c r="G15" s="10" t="s">
        <v>118</v>
      </c>
      <c r="H15" s="10" t="s">
        <v>119</v>
      </c>
      <c r="I15" s="10" t="s">
        <v>120</v>
      </c>
      <c r="J15" s="6">
        <f t="shared" si="0"/>
        <v>61184</v>
      </c>
      <c r="K15" s="5"/>
    </row>
    <row r="16" spans="2:11" ht="21" customHeight="1" x14ac:dyDescent="0.2">
      <c r="B16" s="10">
        <v>12</v>
      </c>
      <c r="C16" s="10" t="s">
        <v>121</v>
      </c>
      <c r="D16" s="10" t="s">
        <v>71</v>
      </c>
      <c r="E16" s="50">
        <f t="array" ref="E16">IF(LEFT(C16,4)="Link",30,VALUE(SUBSTITUTE(INDEX(Kebutuhan!$F$5:$F$18,MATCH(B16,Kebutuhan!$B$5:$B$18,0)),"/","")))</f>
        <v>25</v>
      </c>
      <c r="F16" s="10" t="s">
        <v>122</v>
      </c>
      <c r="G16" s="10" t="s">
        <v>123</v>
      </c>
      <c r="H16" s="10" t="s">
        <v>124</v>
      </c>
      <c r="I16" s="10" t="s">
        <v>125</v>
      </c>
      <c r="J16" s="6">
        <f t="shared" si="0"/>
        <v>61440</v>
      </c>
      <c r="K16" s="5"/>
    </row>
    <row r="17" spans="2:11" ht="21" customHeight="1" x14ac:dyDescent="0.2">
      <c r="B17" s="10">
        <v>13</v>
      </c>
      <c r="C17" s="10" t="s">
        <v>126</v>
      </c>
      <c r="D17" s="10" t="s">
        <v>46</v>
      </c>
      <c r="E17" s="50">
        <f t="array" ref="E17">IF(LEFT(C17,4)="Link",30,VALUE(SUBSTITUTE(INDEX(Kebutuhan!$F$5:$F$18,MATCH(B17,Kebutuhan!$B$5:$B$18,0)),"/","")))</f>
        <v>25</v>
      </c>
      <c r="F17" s="10" t="s">
        <v>127</v>
      </c>
      <c r="G17" s="10" t="s">
        <v>128</v>
      </c>
      <c r="H17" s="10" t="s">
        <v>129</v>
      </c>
      <c r="I17" s="10" t="s">
        <v>130</v>
      </c>
      <c r="J17" s="6">
        <f t="shared" si="0"/>
        <v>61568</v>
      </c>
      <c r="K17" s="5"/>
    </row>
    <row r="18" spans="2:11" ht="21" customHeight="1" x14ac:dyDescent="0.2">
      <c r="B18" s="10">
        <v>14</v>
      </c>
      <c r="C18" s="10" t="s">
        <v>131</v>
      </c>
      <c r="D18" s="10" t="s">
        <v>87</v>
      </c>
      <c r="E18" s="50">
        <f t="array" ref="E18">IF(LEFT(C18,4)="Link",30,VALUE(SUBSTITUTE(INDEX(Kebutuhan!$F$5:$F$18,MATCH(B18,Kebutuhan!$B$5:$B$18,0)),"/","")))</f>
        <v>27</v>
      </c>
      <c r="F18" s="10" t="s">
        <v>132</v>
      </c>
      <c r="G18" s="10" t="s">
        <v>133</v>
      </c>
      <c r="H18" s="10" t="s">
        <v>134</v>
      </c>
      <c r="I18" s="10" t="s">
        <v>135</v>
      </c>
      <c r="J18" s="6">
        <f t="shared" si="0"/>
        <v>61696</v>
      </c>
      <c r="K18" s="5"/>
    </row>
    <row r="19" spans="2:11" ht="21" customHeight="1" x14ac:dyDescent="0.2">
      <c r="B19" s="10">
        <v>15</v>
      </c>
      <c r="C19" s="10" t="s">
        <v>136</v>
      </c>
      <c r="D19" s="10" t="s">
        <v>137</v>
      </c>
      <c r="E19" s="50">
        <f t="array" ref="E19">IF(LEFT(C19,4)="Link",30,VALUE(SUBSTITUTE(INDEX(Kebutuhan!$F$5:$F$18,MATCH(B19,Kebutuhan!$B$5:$B$18,0)),"/","")))</f>
        <v>30</v>
      </c>
      <c r="F19" s="10" t="s">
        <v>139</v>
      </c>
      <c r="G19" s="10" t="s">
        <v>140</v>
      </c>
      <c r="H19" s="10" t="s">
        <v>141</v>
      </c>
      <c r="I19" s="10" t="s">
        <v>142</v>
      </c>
      <c r="J19" s="6">
        <f t="shared" si="0"/>
        <v>61728</v>
      </c>
      <c r="K19" s="5"/>
    </row>
    <row r="20" spans="2:11" ht="21" customHeight="1" x14ac:dyDescent="0.2">
      <c r="B20" s="10">
        <v>16</v>
      </c>
      <c r="C20" s="10" t="s">
        <v>143</v>
      </c>
      <c r="D20" s="10" t="s">
        <v>144</v>
      </c>
      <c r="E20" s="50">
        <f t="array" ref="E20">IF(LEFT(C20,4)="Link",30,VALUE(SUBSTITUTE(INDEX(Kebutuhan!$F$5:$F$18,MATCH(B20,Kebutuhan!$B$5:$B$18,0)),"/","")))</f>
        <v>30</v>
      </c>
      <c r="F20" s="10" t="s">
        <v>145</v>
      </c>
      <c r="G20" s="10" t="s">
        <v>146</v>
      </c>
      <c r="H20" s="10" t="s">
        <v>147</v>
      </c>
      <c r="I20" s="10" t="s">
        <v>148</v>
      </c>
      <c r="J20" s="6">
        <f t="shared" si="0"/>
        <v>61732</v>
      </c>
      <c r="K20" s="5"/>
    </row>
    <row r="21" spans="2:11" ht="21" customHeight="1" x14ac:dyDescent="0.2">
      <c r="B21" s="10">
        <v>17</v>
      </c>
      <c r="C21" s="10" t="s">
        <v>149</v>
      </c>
      <c r="D21" s="10" t="s">
        <v>150</v>
      </c>
      <c r="E21" s="50">
        <f t="array" ref="E21">IF(LEFT(C21,4)="Link",30,VALUE(SUBSTITUTE(INDEX(Kebutuhan!$F$5:$F$18,MATCH(B21,Kebutuhan!$B$5:$B$18,0)),"/","")))</f>
        <v>30</v>
      </c>
      <c r="F21" s="10" t="s">
        <v>153</v>
      </c>
      <c r="G21" s="10" t="s">
        <v>154</v>
      </c>
      <c r="H21" s="10" t="s">
        <v>155</v>
      </c>
      <c r="I21" s="10" t="s">
        <v>156</v>
      </c>
      <c r="J21" s="6">
        <f t="shared" si="0"/>
        <v>61736</v>
      </c>
      <c r="K21" s="5"/>
    </row>
    <row r="22" spans="2:11" ht="21" customHeight="1" x14ac:dyDescent="0.2">
      <c r="B22" s="10">
        <v>18</v>
      </c>
      <c r="C22" s="10" t="s">
        <v>157</v>
      </c>
      <c r="D22" s="10" t="s">
        <v>158</v>
      </c>
      <c r="E22" s="50">
        <f t="array" ref="E22">IF(LEFT(C22,4)="Link",30,VALUE(SUBSTITUTE(INDEX(Kebutuhan!$F$5:$F$18,MATCH(B22,Kebutuhan!$B$5:$B$18,0)),"/","")))</f>
        <v>30</v>
      </c>
      <c r="F22" s="10" t="s">
        <v>160</v>
      </c>
      <c r="G22" s="10" t="s">
        <v>161</v>
      </c>
      <c r="H22" s="10" t="s">
        <v>162</v>
      </c>
      <c r="I22" s="10" t="s">
        <v>163</v>
      </c>
      <c r="J22" s="6">
        <f t="shared" si="0"/>
        <v>61740</v>
      </c>
      <c r="K22" s="5"/>
    </row>
    <row r="23" spans="2:11" ht="21" customHeight="1" x14ac:dyDescent="0.2">
      <c r="B23" s="10">
        <v>19</v>
      </c>
      <c r="C23" s="10" t="s">
        <v>164</v>
      </c>
      <c r="D23" s="10" t="s">
        <v>165</v>
      </c>
      <c r="E23" s="50">
        <f t="array" ref="E23">IF(LEFT(C23,4)="Link",30,VALUE(SUBSTITUTE(INDEX(Kebutuhan!$F$5:$F$18,MATCH(B23,Kebutuhan!$B$5:$B$18,0)),"/","")))</f>
        <v>30</v>
      </c>
      <c r="F23" s="10" t="s">
        <v>166</v>
      </c>
      <c r="G23" s="10" t="s">
        <v>167</v>
      </c>
      <c r="H23" s="10" t="s">
        <v>168</v>
      </c>
      <c r="I23" s="10" t="s">
        <v>169</v>
      </c>
      <c r="J23" s="6">
        <f t="shared" si="0"/>
        <v>61744</v>
      </c>
      <c r="K23" s="5"/>
    </row>
    <row r="24" spans="2:11" ht="21" customHeight="1" x14ac:dyDescent="0.2">
      <c r="B24" s="10">
        <v>20</v>
      </c>
      <c r="C24" s="10" t="s">
        <v>172</v>
      </c>
      <c r="D24" s="10" t="s">
        <v>173</v>
      </c>
      <c r="E24" s="50">
        <f t="array" ref="E24">IF(LEFT(C24,4)="Link",30,VALUE(SUBSTITUTE(INDEX(Kebutuhan!$F$5:$F$18,MATCH(B24,Kebutuhan!$B$5:$B$18,0)),"/","")))</f>
        <v>30</v>
      </c>
      <c r="F24" s="10" t="s">
        <v>176</v>
      </c>
      <c r="G24" s="10" t="s">
        <v>177</v>
      </c>
      <c r="H24" s="10" t="s">
        <v>178</v>
      </c>
      <c r="I24" s="10" t="s">
        <v>179</v>
      </c>
      <c r="J24" s="6">
        <f t="shared" si="0"/>
        <v>61748</v>
      </c>
    </row>
    <row r="25" spans="2:11" ht="12.75" x14ac:dyDescent="0.2">
      <c r="B25" s="5"/>
      <c r="C25" s="5"/>
      <c r="D25" s="5"/>
      <c r="E25" s="5"/>
      <c r="F25" s="5"/>
      <c r="G25" s="5"/>
      <c r="H25" s="5"/>
      <c r="I25" s="46" t="s">
        <v>182</v>
      </c>
      <c r="J25" s="27">
        <f t="shared" si="0"/>
        <v>61752</v>
      </c>
    </row>
    <row r="26" spans="2:11" ht="12.75" x14ac:dyDescent="0.2">
      <c r="B26" s="5"/>
      <c r="C26" s="5"/>
      <c r="D26" s="5"/>
      <c r="E26" s="5"/>
      <c r="F26" s="5"/>
      <c r="G26" s="5"/>
      <c r="H26" s="5"/>
      <c r="I26" s="46" t="s">
        <v>184</v>
      </c>
      <c r="J26" s="47">
        <f>32-ROUNDUP(ROUND(LOG(J25,2),9),0)</f>
        <v>16</v>
      </c>
    </row>
    <row r="27" spans="2:11" ht="12.75" x14ac:dyDescent="0.2">
      <c r="B27" s="5"/>
      <c r="C27" s="5"/>
      <c r="D27" s="5"/>
      <c r="E27" s="5"/>
      <c r="F27" s="5"/>
      <c r="G27" s="5"/>
      <c r="H27" s="5"/>
      <c r="I27" s="46" t="s">
        <v>188</v>
      </c>
      <c r="J27" s="27">
        <f>2^(32-J26)</f>
        <v>65536</v>
      </c>
    </row>
    <row r="28" spans="2:11" ht="12.75" x14ac:dyDescent="0.2">
      <c r="B28" s="5"/>
      <c r="C28" s="5"/>
      <c r="D28" s="5"/>
      <c r="E28" s="5"/>
      <c r="F28" s="5"/>
      <c r="G28" s="5"/>
      <c r="H28" s="5"/>
      <c r="I28" s="46" t="s">
        <v>192</v>
      </c>
      <c r="J28" s="27">
        <f>J27-J25</f>
        <v>3784</v>
      </c>
    </row>
    <row r="29" spans="2:11" ht="12.75" x14ac:dyDescent="0.2">
      <c r="B29" s="5"/>
      <c r="C29" s="5"/>
      <c r="D29" s="5"/>
      <c r="E29" s="5"/>
      <c r="F29" s="5"/>
      <c r="G29" s="5"/>
      <c r="H29" s="5"/>
      <c r="I29" s="46" t="s">
        <v>200</v>
      </c>
      <c r="J29" s="51">
        <f>J25/J27</f>
        <v>0.9422607421875</v>
      </c>
    </row>
    <row r="31" spans="2:11" ht="14.25" x14ac:dyDescent="0.2">
      <c r="B31" s="61" t="s">
        <v>208</v>
      </c>
      <c r="C31" s="62"/>
      <c r="D31" s="62"/>
      <c r="E31" s="62"/>
      <c r="F31" s="63"/>
    </row>
    <row r="32" spans="2:11" ht="60" x14ac:dyDescent="0.2">
      <c r="B32" s="6">
        <v>21</v>
      </c>
      <c r="C32" s="64" t="s">
        <v>210</v>
      </c>
      <c r="D32" s="65"/>
      <c r="E32" s="35" t="s">
        <v>212</v>
      </c>
      <c r="F32" s="37" t="s">
        <v>214</v>
      </c>
    </row>
    <row r="33" spans="2:6" ht="45" x14ac:dyDescent="0.2">
      <c r="B33" s="6">
        <v>22</v>
      </c>
      <c r="C33" s="64" t="s">
        <v>36</v>
      </c>
      <c r="D33" s="65"/>
      <c r="E33" s="35" t="s">
        <v>220</v>
      </c>
      <c r="F33" s="37" t="s">
        <v>221</v>
      </c>
    </row>
    <row r="34" spans="2:6" ht="75" x14ac:dyDescent="0.2">
      <c r="B34" s="6">
        <v>23</v>
      </c>
      <c r="C34" s="64" t="s">
        <v>223</v>
      </c>
      <c r="D34" s="65"/>
      <c r="E34" s="35" t="s">
        <v>225</v>
      </c>
      <c r="F34" s="37" t="s">
        <v>226</v>
      </c>
    </row>
  </sheetData>
  <mergeCells count="12">
    <mergeCell ref="C32:D32"/>
    <mergeCell ref="C33:D33"/>
    <mergeCell ref="C34:D34"/>
    <mergeCell ref="B3:B4"/>
    <mergeCell ref="C3:C4"/>
    <mergeCell ref="D3:D4"/>
    <mergeCell ref="G3:H3"/>
    <mergeCell ref="I3:I4"/>
    <mergeCell ref="J3:J4"/>
    <mergeCell ref="F3:F4"/>
    <mergeCell ref="B31:F31"/>
    <mergeCell ref="E3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1000"/>
  <sheetViews>
    <sheetView topLeftCell="A10" workbookViewId="0">
      <selection activeCell="D20" sqref="D20:D22"/>
    </sheetView>
  </sheetViews>
  <sheetFormatPr defaultColWidth="12.5703125" defaultRowHeight="15.75" customHeight="1" x14ac:dyDescent="0.2"/>
  <cols>
    <col min="2" max="3" width="15.7109375" customWidth="1"/>
    <col min="4" max="4" width="27.5703125" customWidth="1"/>
    <col min="5" max="5" width="15.7109375" customWidth="1"/>
    <col min="6" max="6" width="22.5703125" customWidth="1"/>
    <col min="7" max="7" width="32.42578125" customWidth="1"/>
    <col min="8" max="8" width="16.42578125" customWidth="1"/>
    <col min="9" max="9" width="15.7109375" customWidth="1"/>
    <col min="10" max="12" width="20.140625" customWidth="1"/>
    <col min="13" max="13" width="22.5703125" customWidth="1"/>
    <col min="14" max="14" width="15.7109375" customWidth="1"/>
  </cols>
  <sheetData>
    <row r="1" spans="1:33" ht="23.25" x14ac:dyDescent="0.2">
      <c r="A1" s="5"/>
      <c r="B1" s="14" t="s">
        <v>35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2.75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21" customHeight="1" x14ac:dyDescent="0.2">
      <c r="A3" s="5"/>
      <c r="B3" s="59" t="s">
        <v>3</v>
      </c>
      <c r="C3" s="59" t="s">
        <v>53</v>
      </c>
      <c r="D3" s="59" t="s">
        <v>54</v>
      </c>
      <c r="E3" s="59" t="s">
        <v>59</v>
      </c>
      <c r="F3" s="59" t="s">
        <v>62</v>
      </c>
      <c r="G3" s="59" t="s">
        <v>63</v>
      </c>
      <c r="H3" s="59" t="s">
        <v>64</v>
      </c>
      <c r="I3" s="59" t="s">
        <v>69</v>
      </c>
      <c r="J3" s="59" t="s">
        <v>72</v>
      </c>
      <c r="K3" s="57" t="s">
        <v>16</v>
      </c>
      <c r="L3" s="67"/>
      <c r="M3" s="59" t="s">
        <v>74</v>
      </c>
      <c r="N3" s="59" t="s">
        <v>22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21" customHeight="1" x14ac:dyDescent="0.2">
      <c r="A4" s="5"/>
      <c r="B4" s="77"/>
      <c r="C4" s="77"/>
      <c r="D4" s="77"/>
      <c r="E4" s="77"/>
      <c r="F4" s="77"/>
      <c r="G4" s="77"/>
      <c r="H4" s="77"/>
      <c r="I4" s="77"/>
      <c r="J4" s="77"/>
      <c r="K4" s="8" t="s">
        <v>25</v>
      </c>
      <c r="L4" s="8" t="s">
        <v>26</v>
      </c>
      <c r="M4" s="77"/>
      <c r="N4" s="7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21" customHeight="1" x14ac:dyDescent="0.25">
      <c r="A5" s="5"/>
      <c r="B5" s="76">
        <v>1</v>
      </c>
      <c r="C5" s="76" t="s">
        <v>28</v>
      </c>
      <c r="D5" s="76" t="s">
        <v>95</v>
      </c>
      <c r="E5" s="78">
        <v>17</v>
      </c>
      <c r="F5" s="76">
        <f>2^(32-E5)</f>
        <v>32768</v>
      </c>
      <c r="G5" s="17" t="s">
        <v>27</v>
      </c>
      <c r="H5" s="18">
        <v>11000</v>
      </c>
      <c r="I5" s="19">
        <f t="shared" ref="I5:I6" si="0">32-ROUNDUP(ROUND(LOG(H5,2),9),0)</f>
        <v>18</v>
      </c>
      <c r="J5" s="18" t="s">
        <v>138</v>
      </c>
      <c r="K5" s="20" t="s">
        <v>42</v>
      </c>
      <c r="L5" s="20" t="s">
        <v>43</v>
      </c>
      <c r="M5" s="20" t="s">
        <v>44</v>
      </c>
      <c r="N5" s="76">
        <v>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21" customHeight="1" x14ac:dyDescent="0.25">
      <c r="A6" s="5"/>
      <c r="B6" s="79"/>
      <c r="C6" s="79"/>
      <c r="D6" s="79"/>
      <c r="E6" s="79"/>
      <c r="F6" s="79"/>
      <c r="G6" s="21" t="s">
        <v>101</v>
      </c>
      <c r="H6" s="18">
        <v>450</v>
      </c>
      <c r="I6" s="19">
        <f t="shared" si="0"/>
        <v>23</v>
      </c>
      <c r="J6" s="18" t="s">
        <v>47</v>
      </c>
      <c r="K6" s="22" t="s">
        <v>48</v>
      </c>
      <c r="L6" s="22" t="s">
        <v>151</v>
      </c>
      <c r="M6" s="22" t="s">
        <v>152</v>
      </c>
      <c r="N6" s="7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21" customHeight="1" x14ac:dyDescent="0.25">
      <c r="A7" s="5"/>
      <c r="B7" s="77"/>
      <c r="C7" s="77"/>
      <c r="D7" s="77"/>
      <c r="E7" s="77"/>
      <c r="F7" s="77"/>
      <c r="G7" s="23" t="s">
        <v>159</v>
      </c>
      <c r="H7" s="24">
        <v>2</v>
      </c>
      <c r="I7" s="25">
        <v>30</v>
      </c>
      <c r="J7" s="24" t="s">
        <v>170</v>
      </c>
      <c r="K7" s="26" t="s">
        <v>171</v>
      </c>
      <c r="L7" s="26" t="s">
        <v>174</v>
      </c>
      <c r="M7" s="26" t="s">
        <v>175</v>
      </c>
      <c r="N7" s="7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21" customHeight="1" x14ac:dyDescent="0.25">
      <c r="A8" s="5"/>
      <c r="B8" s="76">
        <v>2</v>
      </c>
      <c r="C8" s="76" t="s">
        <v>46</v>
      </c>
      <c r="D8" s="76" t="s">
        <v>180</v>
      </c>
      <c r="E8" s="78">
        <v>18</v>
      </c>
      <c r="F8" s="76">
        <f>2^(32-E8)</f>
        <v>16384</v>
      </c>
      <c r="G8" s="28" t="s">
        <v>45</v>
      </c>
      <c r="H8" s="18">
        <v>6500</v>
      </c>
      <c r="I8" s="19">
        <f t="shared" ref="I8:I9" si="1">32-ROUNDUP(ROUND(LOG(H8,2),9),0)</f>
        <v>19</v>
      </c>
      <c r="J8" s="18" t="s">
        <v>65</v>
      </c>
      <c r="K8" s="20" t="s">
        <v>66</v>
      </c>
      <c r="L8" s="20" t="s">
        <v>67</v>
      </c>
      <c r="M8" s="20" t="s">
        <v>68</v>
      </c>
      <c r="N8" s="76">
        <f>N5+F5</f>
        <v>32768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21" customHeight="1" x14ac:dyDescent="0.25">
      <c r="A9" s="5"/>
      <c r="B9" s="79"/>
      <c r="C9" s="79"/>
      <c r="D9" s="79"/>
      <c r="E9" s="79"/>
      <c r="F9" s="79"/>
      <c r="G9" s="28" t="s">
        <v>126</v>
      </c>
      <c r="H9" s="18">
        <v>90</v>
      </c>
      <c r="I9" s="19">
        <f t="shared" si="1"/>
        <v>25</v>
      </c>
      <c r="J9" s="18" t="s">
        <v>75</v>
      </c>
      <c r="K9" s="22" t="s">
        <v>76</v>
      </c>
      <c r="L9" s="22" t="s">
        <v>206</v>
      </c>
      <c r="M9" s="22" t="s">
        <v>207</v>
      </c>
      <c r="N9" s="79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21" customHeight="1" x14ac:dyDescent="0.25">
      <c r="A10" s="5"/>
      <c r="B10" s="77"/>
      <c r="C10" s="77"/>
      <c r="D10" s="77"/>
      <c r="E10" s="77"/>
      <c r="F10" s="77"/>
      <c r="G10" s="36" t="s">
        <v>211</v>
      </c>
      <c r="H10" s="24">
        <v>2</v>
      </c>
      <c r="I10" s="25">
        <v>30</v>
      </c>
      <c r="J10" s="24" t="s">
        <v>215</v>
      </c>
      <c r="K10" s="26" t="s">
        <v>216</v>
      </c>
      <c r="L10" s="26" t="s">
        <v>217</v>
      </c>
      <c r="M10" s="26" t="s">
        <v>219</v>
      </c>
      <c r="N10" s="7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21" customHeight="1" x14ac:dyDescent="0.25">
      <c r="A11" s="5"/>
      <c r="B11" s="76">
        <v>3</v>
      </c>
      <c r="C11" s="76" t="s">
        <v>52</v>
      </c>
      <c r="D11" s="76" t="s">
        <v>227</v>
      </c>
      <c r="E11" s="78">
        <v>18</v>
      </c>
      <c r="F11" s="76">
        <f>2^(32-E11)</f>
        <v>16384</v>
      </c>
      <c r="G11" s="28" t="s">
        <v>51</v>
      </c>
      <c r="H11" s="18">
        <v>6000</v>
      </c>
      <c r="I11" s="19">
        <f t="shared" ref="I11:I12" si="2">32-ROUNDUP(ROUND(LOG(H11,2),9),0)</f>
        <v>19</v>
      </c>
      <c r="J11" s="18" t="s">
        <v>81</v>
      </c>
      <c r="K11" s="20" t="s">
        <v>82</v>
      </c>
      <c r="L11" s="20" t="s">
        <v>83</v>
      </c>
      <c r="M11" s="20" t="s">
        <v>84</v>
      </c>
      <c r="N11" s="76">
        <f>N8+F8</f>
        <v>49152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21" customHeight="1" x14ac:dyDescent="0.25">
      <c r="A12" s="5"/>
      <c r="B12" s="79"/>
      <c r="C12" s="79"/>
      <c r="D12" s="79"/>
      <c r="E12" s="79"/>
      <c r="F12" s="79"/>
      <c r="G12" s="28" t="s">
        <v>115</v>
      </c>
      <c r="H12" s="18">
        <v>180</v>
      </c>
      <c r="I12" s="19">
        <f t="shared" si="2"/>
        <v>24</v>
      </c>
      <c r="J12" s="18" t="s">
        <v>90</v>
      </c>
      <c r="K12" s="22" t="s">
        <v>91</v>
      </c>
      <c r="L12" s="22" t="s">
        <v>237</v>
      </c>
      <c r="M12" s="22" t="s">
        <v>238</v>
      </c>
      <c r="N12" s="79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21" customHeight="1" x14ac:dyDescent="0.25">
      <c r="A13" s="5"/>
      <c r="B13" s="77"/>
      <c r="C13" s="77"/>
      <c r="D13" s="77"/>
      <c r="E13" s="77"/>
      <c r="F13" s="77"/>
      <c r="G13" s="36" t="s">
        <v>247</v>
      </c>
      <c r="H13" s="24">
        <v>2</v>
      </c>
      <c r="I13" s="25">
        <v>30</v>
      </c>
      <c r="J13" s="24" t="s">
        <v>248</v>
      </c>
      <c r="K13" s="26" t="s">
        <v>249</v>
      </c>
      <c r="L13" s="26" t="s">
        <v>250</v>
      </c>
      <c r="M13" s="26" t="s">
        <v>251</v>
      </c>
      <c r="N13" s="7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21" customHeight="1" x14ac:dyDescent="0.25">
      <c r="A14" s="5"/>
      <c r="B14" s="76">
        <v>4</v>
      </c>
      <c r="C14" s="76" t="s">
        <v>61</v>
      </c>
      <c r="D14" s="76" t="s">
        <v>252</v>
      </c>
      <c r="E14" s="78">
        <v>18</v>
      </c>
      <c r="F14" s="76">
        <f>2^(32-E14)</f>
        <v>16384</v>
      </c>
      <c r="G14" s="28" t="s">
        <v>60</v>
      </c>
      <c r="H14" s="18">
        <v>5500</v>
      </c>
      <c r="I14" s="19">
        <f t="shared" ref="I14:I15" si="3">32-ROUNDUP(ROUND(LOG(H14,2),9),0)</f>
        <v>19</v>
      </c>
      <c r="J14" s="18" t="s">
        <v>253</v>
      </c>
      <c r="K14" s="20" t="s">
        <v>254</v>
      </c>
      <c r="L14" s="20" t="s">
        <v>255</v>
      </c>
      <c r="M14" s="20" t="s">
        <v>256</v>
      </c>
      <c r="N14" s="76">
        <f>N11+F11</f>
        <v>65536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21" customHeight="1" x14ac:dyDescent="0.25">
      <c r="A15" s="5"/>
      <c r="B15" s="79"/>
      <c r="C15" s="79"/>
      <c r="D15" s="79"/>
      <c r="E15" s="79"/>
      <c r="F15" s="79"/>
      <c r="G15" s="28" t="s">
        <v>94</v>
      </c>
      <c r="H15" s="18">
        <v>700</v>
      </c>
      <c r="I15" s="19">
        <f t="shared" si="3"/>
        <v>22</v>
      </c>
      <c r="J15" s="18" t="s">
        <v>257</v>
      </c>
      <c r="K15" s="22" t="s">
        <v>258</v>
      </c>
      <c r="L15" s="22" t="s">
        <v>259</v>
      </c>
      <c r="M15" s="22" t="s">
        <v>260</v>
      </c>
      <c r="N15" s="79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21" customHeight="1" x14ac:dyDescent="0.25">
      <c r="A16" s="5"/>
      <c r="B16" s="77"/>
      <c r="C16" s="77"/>
      <c r="D16" s="77"/>
      <c r="E16" s="77"/>
      <c r="F16" s="77"/>
      <c r="G16" s="36" t="s">
        <v>261</v>
      </c>
      <c r="H16" s="24">
        <v>2</v>
      </c>
      <c r="I16" s="25">
        <v>30</v>
      </c>
      <c r="J16" s="24" t="s">
        <v>262</v>
      </c>
      <c r="K16" s="26" t="s">
        <v>263</v>
      </c>
      <c r="L16" s="26" t="s">
        <v>264</v>
      </c>
      <c r="M16" s="26" t="s">
        <v>265</v>
      </c>
      <c r="N16" s="77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21" customHeight="1" x14ac:dyDescent="0.25">
      <c r="A17" s="5"/>
      <c r="B17" s="76">
        <v>5</v>
      </c>
      <c r="C17" s="76" t="s">
        <v>71</v>
      </c>
      <c r="D17" s="76" t="s">
        <v>266</v>
      </c>
      <c r="E17" s="78">
        <v>18</v>
      </c>
      <c r="F17" s="76">
        <f>2^(32-E17)</f>
        <v>16384</v>
      </c>
      <c r="G17" s="28" t="s">
        <v>70</v>
      </c>
      <c r="H17" s="18">
        <v>5000</v>
      </c>
      <c r="I17" s="19">
        <f t="shared" ref="I17:I18" si="4">32-ROUNDUP(ROUND(LOG(H17,2),9),0)</f>
        <v>19</v>
      </c>
      <c r="J17" s="18" t="s">
        <v>267</v>
      </c>
      <c r="K17" s="20" t="s">
        <v>268</v>
      </c>
      <c r="L17" s="20" t="s">
        <v>269</v>
      </c>
      <c r="M17" s="20" t="s">
        <v>270</v>
      </c>
      <c r="N17" s="76">
        <f>N14+F14</f>
        <v>81920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21" customHeight="1" x14ac:dyDescent="0.25">
      <c r="A18" s="5"/>
      <c r="B18" s="79"/>
      <c r="C18" s="79"/>
      <c r="D18" s="79"/>
      <c r="E18" s="79"/>
      <c r="F18" s="79"/>
      <c r="G18" s="28" t="s">
        <v>121</v>
      </c>
      <c r="H18" s="18">
        <v>120</v>
      </c>
      <c r="I18" s="19">
        <f t="shared" si="4"/>
        <v>25</v>
      </c>
      <c r="J18" s="18" t="s">
        <v>271</v>
      </c>
      <c r="K18" s="22" t="s">
        <v>272</v>
      </c>
      <c r="L18" s="22" t="s">
        <v>273</v>
      </c>
      <c r="M18" s="22" t="s">
        <v>274</v>
      </c>
      <c r="N18" s="79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21" customHeight="1" x14ac:dyDescent="0.25">
      <c r="A19" s="5"/>
      <c r="B19" s="77"/>
      <c r="C19" s="77"/>
      <c r="D19" s="77"/>
      <c r="E19" s="77"/>
      <c r="F19" s="77"/>
      <c r="G19" s="36" t="s">
        <v>275</v>
      </c>
      <c r="H19" s="24">
        <v>2</v>
      </c>
      <c r="I19" s="25">
        <v>30</v>
      </c>
      <c r="J19" s="24" t="s">
        <v>276</v>
      </c>
      <c r="K19" s="26" t="s">
        <v>277</v>
      </c>
      <c r="L19" s="26" t="s">
        <v>278</v>
      </c>
      <c r="M19" s="26" t="s">
        <v>279</v>
      </c>
      <c r="N19" s="7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21" customHeight="1" x14ac:dyDescent="0.25">
      <c r="A20" s="5"/>
      <c r="B20" s="76">
        <v>6</v>
      </c>
      <c r="C20" s="76" t="s">
        <v>80</v>
      </c>
      <c r="D20" s="76" t="s">
        <v>280</v>
      </c>
      <c r="E20" s="78">
        <v>18</v>
      </c>
      <c r="F20" s="76">
        <f>2^(32-E20)</f>
        <v>16384</v>
      </c>
      <c r="G20" s="28" t="s">
        <v>79</v>
      </c>
      <c r="H20" s="18">
        <v>4500</v>
      </c>
      <c r="I20" s="19">
        <f t="shared" ref="I20:I21" si="5">32-ROUNDUP(ROUND(LOG(H20,2),9),0)</f>
        <v>19</v>
      </c>
      <c r="J20" s="18" t="s">
        <v>281</v>
      </c>
      <c r="K20" s="20" t="s">
        <v>282</v>
      </c>
      <c r="L20" s="20" t="s">
        <v>283</v>
      </c>
      <c r="M20" s="20" t="s">
        <v>284</v>
      </c>
      <c r="N20" s="76">
        <f>N17+F17</f>
        <v>98304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21" customHeight="1" x14ac:dyDescent="0.25">
      <c r="A21" s="5"/>
      <c r="B21" s="79"/>
      <c r="C21" s="79"/>
      <c r="D21" s="79"/>
      <c r="E21" s="79"/>
      <c r="F21" s="79"/>
      <c r="G21" s="28" t="s">
        <v>108</v>
      </c>
      <c r="H21" s="18">
        <v>220</v>
      </c>
      <c r="I21" s="19">
        <f t="shared" si="5"/>
        <v>24</v>
      </c>
      <c r="J21" s="18" t="s">
        <v>285</v>
      </c>
      <c r="K21" s="22" t="s">
        <v>286</v>
      </c>
      <c r="L21" s="22" t="s">
        <v>287</v>
      </c>
      <c r="M21" s="22" t="s">
        <v>288</v>
      </c>
      <c r="N21" s="79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21" customHeight="1" x14ac:dyDescent="0.25">
      <c r="A22" s="5"/>
      <c r="B22" s="77"/>
      <c r="C22" s="77"/>
      <c r="D22" s="77"/>
      <c r="E22" s="77"/>
      <c r="F22" s="77"/>
      <c r="G22" s="36" t="s">
        <v>289</v>
      </c>
      <c r="H22" s="24">
        <v>2</v>
      </c>
      <c r="I22" s="25">
        <v>30</v>
      </c>
      <c r="J22" s="24" t="s">
        <v>290</v>
      </c>
      <c r="K22" s="26" t="s">
        <v>291</v>
      </c>
      <c r="L22" s="26" t="s">
        <v>292</v>
      </c>
      <c r="M22" s="26" t="s">
        <v>293</v>
      </c>
      <c r="N22" s="7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21" customHeight="1" x14ac:dyDescent="0.25">
      <c r="A23" s="5"/>
      <c r="B23" s="76">
        <v>7</v>
      </c>
      <c r="C23" s="76" t="s">
        <v>87</v>
      </c>
      <c r="D23" s="76" t="s">
        <v>294</v>
      </c>
      <c r="E23" s="78">
        <v>20</v>
      </c>
      <c r="F23" s="76">
        <f>2^(32-E23)</f>
        <v>4096</v>
      </c>
      <c r="G23" s="28" t="s">
        <v>86</v>
      </c>
      <c r="H23" s="18">
        <v>1800</v>
      </c>
      <c r="I23" s="19">
        <f t="shared" ref="I23:I24" si="6">32-ROUNDUP(ROUND(LOG(H23,2),9),0)</f>
        <v>21</v>
      </c>
      <c r="J23" s="18" t="s">
        <v>295</v>
      </c>
      <c r="K23" s="20" t="s">
        <v>296</v>
      </c>
      <c r="L23" s="20" t="s">
        <v>297</v>
      </c>
      <c r="M23" s="43" t="s">
        <v>298</v>
      </c>
      <c r="N23" s="76">
        <f>N20+F20</f>
        <v>114688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21" customHeight="1" x14ac:dyDescent="0.25">
      <c r="A24" s="5"/>
      <c r="B24" s="77"/>
      <c r="C24" s="77"/>
      <c r="D24" s="77"/>
      <c r="E24" s="77"/>
      <c r="F24" s="77"/>
      <c r="G24" s="36" t="s">
        <v>131</v>
      </c>
      <c r="H24" s="24">
        <v>20</v>
      </c>
      <c r="I24" s="25">
        <f t="shared" si="6"/>
        <v>27</v>
      </c>
      <c r="J24" s="24" t="s">
        <v>299</v>
      </c>
      <c r="K24" s="26" t="s">
        <v>300</v>
      </c>
      <c r="L24" s="26" t="s">
        <v>301</v>
      </c>
      <c r="M24" s="44" t="s">
        <v>302</v>
      </c>
      <c r="N24" s="7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21" customHeight="1" x14ac:dyDescent="0.2">
      <c r="A25" s="5"/>
      <c r="B25" s="5"/>
      <c r="C25" s="5"/>
      <c r="D25" s="5"/>
      <c r="E25" s="45"/>
      <c r="F25" s="5"/>
      <c r="G25" s="5"/>
      <c r="H25" s="5"/>
      <c r="I25" s="5"/>
      <c r="J25" s="5"/>
      <c r="K25" s="5"/>
      <c r="L25" s="5"/>
      <c r="M25" s="46" t="s">
        <v>182</v>
      </c>
      <c r="N25" s="27">
        <f>N23+F23</f>
        <v>118784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21" customHeight="1" x14ac:dyDescent="0.2">
      <c r="A26" s="5"/>
      <c r="B26" s="5"/>
      <c r="C26" s="5"/>
      <c r="D26" s="5"/>
      <c r="E26" s="45"/>
      <c r="F26" s="5"/>
      <c r="G26" s="5"/>
      <c r="H26" s="5"/>
      <c r="I26" s="5"/>
      <c r="J26" s="5"/>
      <c r="K26" s="5"/>
      <c r="L26" s="5"/>
      <c r="M26" s="46" t="s">
        <v>184</v>
      </c>
      <c r="N26" s="47">
        <f>32-ROUNDUP(ROUND(LOG(N25,2),9),0)</f>
        <v>15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21" customHeight="1" x14ac:dyDescent="0.2">
      <c r="A27" s="5"/>
      <c r="B27" s="5"/>
      <c r="C27" s="5"/>
      <c r="D27" s="5"/>
      <c r="E27" s="45"/>
      <c r="F27" s="5"/>
      <c r="G27" s="5"/>
      <c r="H27" s="5"/>
      <c r="I27" s="5"/>
      <c r="J27" s="5"/>
      <c r="K27" s="5"/>
      <c r="L27" s="5"/>
      <c r="M27" s="46" t="s">
        <v>188</v>
      </c>
      <c r="N27" s="27">
        <f>2^(32-N26)</f>
        <v>131072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21" customHeight="1" x14ac:dyDescent="0.2">
      <c r="A28" s="5"/>
      <c r="B28" s="5"/>
      <c r="C28" s="5"/>
      <c r="D28" s="5"/>
      <c r="E28" s="45"/>
      <c r="F28" s="5"/>
      <c r="G28" s="5"/>
      <c r="H28" s="5"/>
      <c r="I28" s="5"/>
      <c r="J28" s="5"/>
      <c r="K28" s="5"/>
      <c r="L28" s="5"/>
      <c r="M28" s="46" t="s">
        <v>192</v>
      </c>
      <c r="N28" s="27">
        <f>N27-N25</f>
        <v>12288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21" customHeight="1" x14ac:dyDescent="0.2">
      <c r="A29" s="5"/>
      <c r="B29" s="5"/>
      <c r="C29" s="5"/>
      <c r="D29" s="5"/>
      <c r="E29" s="45"/>
      <c r="F29" s="5"/>
      <c r="G29" s="5"/>
      <c r="H29" s="5"/>
      <c r="I29" s="5"/>
      <c r="J29" s="5"/>
      <c r="K29" s="5"/>
      <c r="L29" s="5"/>
      <c r="M29" s="46" t="s">
        <v>200</v>
      </c>
      <c r="N29" s="48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21" customHeight="1" x14ac:dyDescent="0.2">
      <c r="A30" s="5"/>
      <c r="B30" s="5"/>
      <c r="C30" s="5"/>
      <c r="D30" s="5"/>
      <c r="E30" s="45"/>
      <c r="F30" s="5"/>
      <c r="G30" s="5"/>
      <c r="H30" s="5"/>
      <c r="I30" s="5"/>
      <c r="J30" s="5"/>
      <c r="K30" s="5"/>
      <c r="L30" s="5"/>
      <c r="M30" s="6" t="s">
        <v>303</v>
      </c>
      <c r="N30" s="49">
        <f>N25/N27</f>
        <v>0.90625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21" customHeight="1" x14ac:dyDescent="0.2">
      <c r="A31" s="5"/>
      <c r="B31" s="5"/>
      <c r="C31" s="5"/>
      <c r="D31" s="5"/>
      <c r="E31" s="45"/>
      <c r="F31" s="5"/>
      <c r="G31" s="5"/>
      <c r="H31" s="5"/>
      <c r="I31" s="5"/>
      <c r="J31" s="5"/>
      <c r="K31" s="5"/>
      <c r="L31" s="5"/>
      <c r="M31" s="6" t="s">
        <v>304</v>
      </c>
      <c r="N31" s="49">
        <f>61752/N27</f>
        <v>0.47113037109375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2.75" x14ac:dyDescent="0.2">
      <c r="A32" s="5"/>
      <c r="B32" s="5"/>
      <c r="C32" s="5"/>
      <c r="D32" s="5"/>
      <c r="E32" s="4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2.75" x14ac:dyDescent="0.2">
      <c r="A33" s="5"/>
      <c r="B33" s="5"/>
      <c r="C33" s="5"/>
      <c r="D33" s="5"/>
      <c r="E33" s="4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2.75" x14ac:dyDescent="0.2">
      <c r="A34" s="5"/>
      <c r="B34" s="5"/>
      <c r="C34" s="5"/>
      <c r="D34" s="5"/>
      <c r="E34" s="4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2.75" x14ac:dyDescent="0.2">
      <c r="A35" s="5"/>
      <c r="B35" s="5"/>
      <c r="C35" s="5"/>
      <c r="D35" s="5"/>
      <c r="E35" s="4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2.75" x14ac:dyDescent="0.2">
      <c r="A36" s="5"/>
      <c r="B36" s="5"/>
      <c r="C36" s="5"/>
      <c r="D36" s="5"/>
      <c r="E36" s="4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2.75" x14ac:dyDescent="0.2">
      <c r="A37" s="5"/>
      <c r="B37" s="5"/>
      <c r="C37" s="5"/>
      <c r="D37" s="5"/>
      <c r="E37" s="4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2.75" x14ac:dyDescent="0.2">
      <c r="A38" s="5"/>
      <c r="B38" s="5"/>
      <c r="C38" s="5"/>
      <c r="D38" s="5"/>
      <c r="E38" s="4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2.75" x14ac:dyDescent="0.2">
      <c r="A39" s="5"/>
      <c r="B39" s="5"/>
      <c r="C39" s="5"/>
      <c r="D39" s="5"/>
      <c r="E39" s="4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2.75" x14ac:dyDescent="0.2">
      <c r="A40" s="5"/>
      <c r="B40" s="5"/>
      <c r="C40" s="5"/>
      <c r="D40" s="5"/>
      <c r="E40" s="4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2.75" x14ac:dyDescent="0.2">
      <c r="A41" s="5"/>
      <c r="B41" s="5"/>
      <c r="C41" s="5"/>
      <c r="D41" s="5"/>
      <c r="E41" s="4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2.75" x14ac:dyDescent="0.2">
      <c r="A42" s="5"/>
      <c r="B42" s="5"/>
      <c r="C42" s="5"/>
      <c r="D42" s="5"/>
      <c r="E42" s="4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2.75" x14ac:dyDescent="0.2">
      <c r="A43" s="5"/>
      <c r="B43" s="5"/>
      <c r="C43" s="5"/>
      <c r="D43" s="5"/>
      <c r="E43" s="4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2.75" x14ac:dyDescent="0.2">
      <c r="A44" s="5"/>
      <c r="B44" s="5"/>
      <c r="C44" s="5"/>
      <c r="D44" s="5"/>
      <c r="E44" s="4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2.75" x14ac:dyDescent="0.2">
      <c r="A45" s="5"/>
      <c r="B45" s="5"/>
      <c r="C45" s="5"/>
      <c r="D45" s="5"/>
      <c r="E45" s="4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spans="1:33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spans="1:33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spans="1:33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spans="1:33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spans="1:33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spans="1:33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spans="1:33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spans="1:33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spans="1:33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spans="1:33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spans="1:33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spans="1:33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spans="1:33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spans="1:33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spans="1:33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spans="1:33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spans="1:33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spans="1:33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spans="1:33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spans="1:33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spans="1:33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spans="1:33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spans="1:33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spans="1:33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spans="1:33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spans="1:33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spans="1:33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spans="1:33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spans="1:33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spans="1:33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spans="1:33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spans="1:33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spans="1:33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spans="1:33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spans="1:33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spans="1:33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spans="1:33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spans="1:33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spans="1:33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spans="1:33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spans="1:33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spans="1:33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spans="1:33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spans="1:33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spans="1:33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spans="1:33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spans="1:33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spans="1:33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spans="1:33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spans="1:33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spans="1:33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spans="1:33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spans="1:33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spans="1:33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spans="1:33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spans="1:33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spans="1:33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spans="1:33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spans="1:33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spans="1:33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spans="1:33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spans="1:33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spans="1:33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spans="1:33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spans="1:33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spans="1:33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spans="1:33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spans="1:33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spans="1:33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spans="1:33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spans="1:33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spans="1:33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spans="1:33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spans="1:33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spans="1:33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spans="1:33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spans="1:33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spans="1:33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spans="1:33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spans="1:33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spans="1:33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spans="1:33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spans="1:33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spans="1:33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spans="1:33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spans="1:33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spans="1:33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spans="1:33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spans="1:33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spans="1:33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spans="1:33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spans="1:33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spans="1:33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spans="1:33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spans="1:33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spans="1:33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spans="1:33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spans="1:33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spans="1:33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spans="1:33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spans="1:33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spans="1:33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spans="1:33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spans="1:33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spans="1:33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spans="1:33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spans="1:33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spans="1:33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spans="1:33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spans="1:33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spans="1:33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spans="1:33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spans="1:33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spans="1:33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spans="1:33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spans="1:33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spans="1:33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spans="1:33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spans="1:33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spans="1:33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spans="1:33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spans="1:33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spans="1:33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spans="1:33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spans="1:33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spans="1:33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spans="1:33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spans="1:33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spans="1:33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spans="1:33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spans="1:33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spans="1:33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spans="1:33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spans="1:33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spans="1:33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spans="1:33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spans="1:33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spans="1:33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spans="1:33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spans="1:33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spans="1:33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spans="1:33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spans="1:33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spans="1:33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spans="1:33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spans="1:33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spans="1:33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spans="1:33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spans="1:33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spans="1:33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spans="1:33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spans="1:33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spans="1:33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spans="1:33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spans="1:33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spans="1:33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spans="1:33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spans="1:33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spans="1:33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spans="1:33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spans="1:33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spans="1:33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spans="1:33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spans="1:33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spans="1:33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spans="1:33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spans="1:33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spans="1:33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spans="1:33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spans="1:33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spans="1:33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spans="1:33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spans="1:33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spans="1:33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spans="1:33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spans="1:33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spans="1:33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spans="1:33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spans="1:33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spans="1:33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spans="1:33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spans="1:33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spans="1:33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spans="1:33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spans="1:33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spans="1:33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spans="1:33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spans="1:33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spans="1:33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spans="1:33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spans="1:33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spans="1:33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spans="1:33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spans="1:33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spans="1:33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spans="1:33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spans="1:33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spans="1:33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spans="1:33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spans="1:33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spans="1:33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spans="1:33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spans="1:33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spans="1:33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spans="1:33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spans="1:33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spans="1:33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spans="1:33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spans="1:33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spans="1:33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spans="1:33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spans="1:33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spans="1:33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spans="1:33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spans="1:33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spans="1:33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spans="1:33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spans="1:33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spans="1:33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spans="1:33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spans="1:33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spans="1:33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spans="1:33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spans="1:33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spans="1:33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spans="1:33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spans="1:33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spans="1:33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spans="1:33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spans="1:33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spans="1:33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spans="1:33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spans="1:33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spans="1:33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spans="1:33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spans="1:33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spans="1:33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spans="1:33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spans="1:33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spans="1:33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spans="1:33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spans="1:33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spans="1:33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spans="1:33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spans="1:33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spans="1:33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spans="1:33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spans="1:33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spans="1:33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spans="1:33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spans="1:33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spans="1:33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spans="1:33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spans="1:33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spans="1:33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spans="1:33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spans="1:33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spans="1:33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spans="1:33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spans="1:33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spans="1:33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spans="1:33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spans="1:33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spans="1:33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spans="1:33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spans="1:33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spans="1:33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spans="1:33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spans="1:33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spans="1:33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spans="1:33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spans="1:33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spans="1:33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spans="1:33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spans="1:33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spans="1:33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spans="1:33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spans="1:33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spans="1:33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spans="1:33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spans="1:33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spans="1:33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spans="1:33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spans="1:33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spans="1:33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spans="1:33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spans="1:33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spans="1:33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spans="1:33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spans="1:33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spans="1:33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spans="1:33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spans="1:33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spans="1:33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spans="1:33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spans="1:33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spans="1:33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spans="1:33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spans="1:33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spans="1:33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spans="1:33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spans="1:33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spans="1:33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spans="1:33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spans="1:33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spans="1:33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spans="1:33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spans="1:33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spans="1:33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spans="1:33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spans="1:33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spans="1:33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spans="1:33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spans="1:33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spans="1:33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spans="1:33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spans="1:33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spans="1:33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spans="1:33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spans="1:33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spans="1:33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spans="1:33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spans="1:33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spans="1:33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spans="1:33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spans="1:33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spans="1:33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spans="1:33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spans="1:33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spans="1:33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spans="1:33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spans="1:33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spans="1:33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spans="1:33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spans="1:33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spans="1:33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spans="1:33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spans="1:33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spans="1:33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spans="1:33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spans="1:33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spans="1:33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spans="1:33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spans="1:33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spans="1:33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spans="1:33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spans="1:33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spans="1:33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spans="1:33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spans="1:33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spans="1:33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spans="1:33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spans="1:33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spans="1:33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spans="1:33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spans="1:33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spans="1:33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spans="1:33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spans="1:33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spans="1:33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spans="1:33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spans="1:33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spans="1:33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spans="1:33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spans="1:33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spans="1:33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spans="1:33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spans="1:33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spans="1:33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spans="1:33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spans="1:33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spans="1:33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spans="1:33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spans="1:33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spans="1:33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spans="1:33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spans="1:33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spans="1:33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spans="1:33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spans="1:33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spans="1:33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spans="1:33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spans="1:33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spans="1:33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spans="1:33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spans="1:33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spans="1:33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spans="1:33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spans="1:33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spans="1:33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spans="1:33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spans="1:33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spans="1:33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spans="1:33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spans="1:33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spans="1:33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spans="1:33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spans="1:33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spans="1:33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spans="1:33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spans="1:33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spans="1:33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spans="1:33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spans="1:33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spans="1:33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spans="1:33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spans="1:33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spans="1:33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spans="1:33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spans="1:33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spans="1:33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spans="1:33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spans="1:33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spans="1:33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spans="1:33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spans="1:33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spans="1:33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spans="1:33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spans="1:33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spans="1:33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spans="1:33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spans="1:33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spans="1:33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spans="1:33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spans="1:33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spans="1:33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spans="1:33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spans="1:33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spans="1:33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spans="1:33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spans="1:33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spans="1:33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spans="1:33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spans="1:33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spans="1:33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spans="1:33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spans="1:33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spans="1:33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spans="1:33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spans="1:33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spans="1:33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spans="1:33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spans="1:33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spans="1:33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spans="1:33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spans="1:33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spans="1:33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spans="1:33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spans="1:33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spans="1:33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spans="1:33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spans="1:33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spans="1:33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spans="1:33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spans="1:33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spans="1:33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spans="1:33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spans="1:33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spans="1:33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spans="1:33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spans="1:33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spans="1:33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spans="1:33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spans="1:33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spans="1:33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spans="1:33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spans="1:33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spans="1:33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spans="1:33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spans="1:33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spans="1:33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spans="1:33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spans="1:33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spans="1:33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spans="1:33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spans="1:33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spans="1:33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spans="1:33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spans="1:33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spans="1:33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spans="1:33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spans="1:33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spans="1:33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spans="1:33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spans="1:33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spans="1:33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spans="1:33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spans="1:33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spans="1:33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spans="1:33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spans="1:33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spans="1:33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spans="1:33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spans="1:33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spans="1:33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spans="1:33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spans="1:33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spans="1:33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spans="1:33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spans="1:33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spans="1:33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spans="1:33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spans="1:33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spans="1:33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spans="1:33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spans="1:33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spans="1:33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spans="1:33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spans="1:33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spans="1:33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spans="1:33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spans="1:33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spans="1:33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spans="1:33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spans="1:33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spans="1:33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spans="1:33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spans="1:33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spans="1:33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spans="1:33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spans="1:33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spans="1:33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spans="1:33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spans="1:33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spans="1:33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spans="1:33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spans="1:33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spans="1:33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spans="1:33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spans="1:33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spans="1:33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spans="1:33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spans="1:33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spans="1:33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spans="1:33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spans="1:33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spans="1:33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spans="1:33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spans="1:33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spans="1:33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spans="1:33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spans="1:33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spans="1:33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spans="1:33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spans="1:33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spans="1:33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spans="1:33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spans="1:33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spans="1:33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spans="1:33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spans="1:33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spans="1:33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spans="1:33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spans="1:33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spans="1:33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spans="1:33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spans="1:33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spans="1:33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 spans="1:33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 spans="1:33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 spans="1:33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 spans="1:33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 spans="1:33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 spans="1:33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 spans="1:33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 spans="1:33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 spans="1:33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 spans="1:33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 spans="1:33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 spans="1:33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 spans="1:33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 spans="1:33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 spans="1:33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 spans="1:33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 spans="1:33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</sheetData>
  <mergeCells count="54">
    <mergeCell ref="E20:E22"/>
    <mergeCell ref="F20:F22"/>
    <mergeCell ref="C17:C19"/>
    <mergeCell ref="D17:D19"/>
    <mergeCell ref="E14:E16"/>
    <mergeCell ref="F14:F16"/>
    <mergeCell ref="E17:E19"/>
    <mergeCell ref="F17:F19"/>
    <mergeCell ref="C20:C22"/>
    <mergeCell ref="D20:D22"/>
    <mergeCell ref="B3:B4"/>
    <mergeCell ref="C3:C4"/>
    <mergeCell ref="D3:D4"/>
    <mergeCell ref="B5:B7"/>
    <mergeCell ref="C5:C7"/>
    <mergeCell ref="C8:C10"/>
    <mergeCell ref="B8:B10"/>
    <mergeCell ref="B11:B13"/>
    <mergeCell ref="C11:C13"/>
    <mergeCell ref="D11:D13"/>
    <mergeCell ref="B20:B22"/>
    <mergeCell ref="C14:C16"/>
    <mergeCell ref="D14:D16"/>
    <mergeCell ref="B17:B19"/>
    <mergeCell ref="E3:E4"/>
    <mergeCell ref="F3:F4"/>
    <mergeCell ref="G3:G4"/>
    <mergeCell ref="H3:H4"/>
    <mergeCell ref="D8:D10"/>
    <mergeCell ref="E8:E10"/>
    <mergeCell ref="D5:D7"/>
    <mergeCell ref="E5:E7"/>
    <mergeCell ref="F5:F7"/>
    <mergeCell ref="F8:F10"/>
    <mergeCell ref="E11:E13"/>
    <mergeCell ref="F11:F13"/>
    <mergeCell ref="B14:B16"/>
    <mergeCell ref="N11:N13"/>
    <mergeCell ref="N14:N16"/>
    <mergeCell ref="N17:N19"/>
    <mergeCell ref="N20:N22"/>
    <mergeCell ref="N23:N24"/>
    <mergeCell ref="I3:I4"/>
    <mergeCell ref="J3:J4"/>
    <mergeCell ref="K3:L3"/>
    <mergeCell ref="M3:M4"/>
    <mergeCell ref="N3:N4"/>
    <mergeCell ref="N5:N7"/>
    <mergeCell ref="N8:N10"/>
    <mergeCell ref="B23:B24"/>
    <mergeCell ref="C23:C24"/>
    <mergeCell ref="D23:D24"/>
    <mergeCell ref="E23:E24"/>
    <mergeCell ref="F23:F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3:Z15"/>
  <sheetViews>
    <sheetView workbookViewId="0">
      <selection activeCell="E10" sqref="B5:G11"/>
    </sheetView>
  </sheetViews>
  <sheetFormatPr defaultColWidth="12.5703125" defaultRowHeight="15.75" customHeight="1" x14ac:dyDescent="0.2"/>
  <cols>
    <col min="2" max="2" width="16.42578125" customWidth="1"/>
    <col min="3" max="3" width="20.140625" customWidth="1"/>
    <col min="4" max="4" width="31.42578125" customWidth="1"/>
    <col min="5" max="5" width="35.140625" customWidth="1"/>
    <col min="6" max="6" width="25.140625" customWidth="1"/>
  </cols>
  <sheetData>
    <row r="3" spans="1:26" ht="23.25" x14ac:dyDescent="0.2">
      <c r="B3" s="83" t="s">
        <v>181</v>
      </c>
      <c r="C3" s="73"/>
      <c r="D3" s="73"/>
      <c r="E3" s="73"/>
      <c r="F3" s="73"/>
      <c r="G3" s="73"/>
      <c r="H3" s="14"/>
    </row>
    <row r="5" spans="1:26" x14ac:dyDescent="0.25">
      <c r="B5" s="84" t="s">
        <v>183</v>
      </c>
      <c r="C5" s="67"/>
      <c r="D5" s="29" t="s">
        <v>185</v>
      </c>
      <c r="E5" s="29" t="s">
        <v>186</v>
      </c>
      <c r="F5" s="84" t="s">
        <v>187</v>
      </c>
      <c r="G5" s="67"/>
    </row>
    <row r="6" spans="1:26" ht="45" customHeight="1" x14ac:dyDescent="0.2">
      <c r="B6" s="85" t="s">
        <v>189</v>
      </c>
      <c r="C6" s="86"/>
      <c r="D6" s="30" t="s">
        <v>190</v>
      </c>
      <c r="E6" s="30" t="s">
        <v>190</v>
      </c>
      <c r="F6" s="87" t="s">
        <v>191</v>
      </c>
      <c r="G6" s="86"/>
    </row>
    <row r="7" spans="1:26" ht="45" customHeight="1" x14ac:dyDescent="0.2">
      <c r="B7" s="85" t="s">
        <v>193</v>
      </c>
      <c r="C7" s="86"/>
      <c r="D7" s="30" t="s">
        <v>190</v>
      </c>
      <c r="E7" s="31" t="s">
        <v>194</v>
      </c>
      <c r="F7" s="87" t="s">
        <v>195</v>
      </c>
      <c r="G7" s="86"/>
    </row>
    <row r="8" spans="1:26" ht="45" customHeight="1" x14ac:dyDescent="0.2">
      <c r="B8" s="85" t="s">
        <v>196</v>
      </c>
      <c r="C8" s="86"/>
      <c r="D8" s="30" t="s">
        <v>197</v>
      </c>
      <c r="E8" s="31" t="s">
        <v>198</v>
      </c>
      <c r="F8" s="87" t="s">
        <v>199</v>
      </c>
      <c r="G8" s="86"/>
    </row>
    <row r="9" spans="1:26" ht="45" customHeight="1" x14ac:dyDescent="0.2">
      <c r="B9" s="85" t="s">
        <v>201</v>
      </c>
      <c r="C9" s="86"/>
      <c r="D9" s="30" t="s">
        <v>202</v>
      </c>
      <c r="E9" s="31" t="s">
        <v>203</v>
      </c>
      <c r="F9" s="87" t="s">
        <v>204</v>
      </c>
      <c r="G9" s="86"/>
    </row>
    <row r="10" spans="1:26" ht="90" customHeight="1" x14ac:dyDescent="0.2">
      <c r="A10" s="32"/>
      <c r="B10" s="85" t="s">
        <v>205</v>
      </c>
      <c r="C10" s="86"/>
      <c r="D10" s="33">
        <v>0.94230000000000003</v>
      </c>
      <c r="E10" s="34">
        <v>0.47110000000000002</v>
      </c>
      <c r="F10" s="87" t="s">
        <v>209</v>
      </c>
      <c r="G10" s="86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45" customHeight="1" x14ac:dyDescent="0.2">
      <c r="B11" s="80" t="s">
        <v>213</v>
      </c>
      <c r="C11" s="81"/>
      <c r="D11" s="38" t="s">
        <v>218</v>
      </c>
      <c r="E11" s="39" t="s">
        <v>222</v>
      </c>
      <c r="F11" s="82" t="s">
        <v>224</v>
      </c>
      <c r="G11" s="81"/>
    </row>
    <row r="14" spans="1:26" ht="15" x14ac:dyDescent="0.2">
      <c r="B14" s="40"/>
    </row>
    <row r="15" spans="1:26" ht="21.75" customHeight="1" x14ac:dyDescent="0.2">
      <c r="A15" s="32"/>
      <c r="B15" s="41"/>
      <c r="C15" s="41"/>
      <c r="D15" s="41"/>
      <c r="E15" s="41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</sheetData>
  <mergeCells count="15">
    <mergeCell ref="B11:C11"/>
    <mergeCell ref="F11:G11"/>
    <mergeCell ref="B3:G3"/>
    <mergeCell ref="B5:C5"/>
    <mergeCell ref="F5:G5"/>
    <mergeCell ref="B6:C6"/>
    <mergeCell ref="F6:G6"/>
    <mergeCell ref="B7:C7"/>
    <mergeCell ref="B8:C8"/>
    <mergeCell ref="F7:G7"/>
    <mergeCell ref="F8:G8"/>
    <mergeCell ref="B9:C9"/>
    <mergeCell ref="F9:G9"/>
    <mergeCell ref="B10:C10"/>
    <mergeCell ref="F10:G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7"/>
  <sheetViews>
    <sheetView workbookViewId="0">
      <selection activeCell="D6" sqref="B3:F7"/>
    </sheetView>
  </sheetViews>
  <sheetFormatPr defaultColWidth="12.5703125" defaultRowHeight="15.75" customHeight="1" x14ac:dyDescent="0.2"/>
  <cols>
    <col min="3" max="3" width="31.42578125" customWidth="1"/>
    <col min="4" max="4" width="34.42578125" customWidth="1"/>
    <col min="5" max="5" width="32.42578125" customWidth="1"/>
    <col min="6" max="6" width="47.5703125" customWidth="1"/>
  </cols>
  <sheetData>
    <row r="1" spans="1:6" ht="15.75" customHeight="1" x14ac:dyDescent="0.35">
      <c r="A1" s="90" t="s">
        <v>228</v>
      </c>
      <c r="B1" s="73"/>
      <c r="C1" s="73"/>
    </row>
    <row r="3" spans="1:6" ht="12.75" x14ac:dyDescent="0.2">
      <c r="B3" s="88" t="s">
        <v>4</v>
      </c>
      <c r="C3" s="88" t="s">
        <v>229</v>
      </c>
      <c r="D3" s="88" t="s">
        <v>230</v>
      </c>
      <c r="E3" s="88" t="s">
        <v>231</v>
      </c>
      <c r="F3" s="88" t="s">
        <v>232</v>
      </c>
    </row>
    <row r="4" spans="1:6" ht="12.75" x14ac:dyDescent="0.2">
      <c r="B4" s="89"/>
      <c r="C4" s="89"/>
      <c r="D4" s="89"/>
      <c r="E4" s="89"/>
      <c r="F4" s="89"/>
    </row>
    <row r="5" spans="1:6" ht="51" x14ac:dyDescent="0.2">
      <c r="B5" s="42">
        <v>1</v>
      </c>
      <c r="C5" s="42" t="s">
        <v>233</v>
      </c>
      <c r="D5" s="42" t="s">
        <v>234</v>
      </c>
      <c r="E5" s="42" t="s">
        <v>235</v>
      </c>
      <c r="F5" s="42" t="s">
        <v>236</v>
      </c>
    </row>
    <row r="6" spans="1:6" ht="153" x14ac:dyDescent="0.2">
      <c r="B6" s="42">
        <v>2</v>
      </c>
      <c r="C6" s="42" t="s">
        <v>239</v>
      </c>
      <c r="D6" s="42" t="s">
        <v>240</v>
      </c>
      <c r="E6" s="42" t="s">
        <v>241</v>
      </c>
      <c r="F6" s="42" t="s">
        <v>242</v>
      </c>
    </row>
    <row r="7" spans="1:6" ht="51" x14ac:dyDescent="0.2">
      <c r="B7" s="42">
        <v>3</v>
      </c>
      <c r="C7" s="42" t="s">
        <v>243</v>
      </c>
      <c r="D7" s="42" t="s">
        <v>244</v>
      </c>
      <c r="E7" s="42" t="s">
        <v>245</v>
      </c>
      <c r="F7" s="42" t="s">
        <v>246</v>
      </c>
    </row>
  </sheetData>
  <mergeCells count="6">
    <mergeCell ref="F3:F4"/>
    <mergeCell ref="A1:C1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Kelompok</vt:lpstr>
      <vt:lpstr>Kebutuhan</vt:lpstr>
      <vt:lpstr>VLSM</vt:lpstr>
      <vt:lpstr>CIDR</vt:lpstr>
      <vt:lpstr>Simpulan &amp; Analisis</vt:lpstr>
      <vt:lpstr>Revisi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Umar</cp:lastModifiedBy>
  <dcterms:modified xsi:type="dcterms:W3CDTF">2026-10-28T10:41:03Z</dcterms:modified>
</cp:coreProperties>
</file>